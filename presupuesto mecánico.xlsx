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97C2487E-C125-43F5-9832-50D329430E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bajo Principal" sheetId="1" r:id="rId1"/>
  </sheets>
  <definedNames>
    <definedName name="_xlnm.Print_Area" localSheetId="0">'Trabajo Principal'!$A$1:$J$106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1" l="1"/>
  <c r="I93" i="1"/>
  <c r="I94" i="1"/>
  <c r="I95" i="1"/>
  <c r="I96" i="1"/>
  <c r="I97" i="1"/>
  <c r="I98" i="1"/>
  <c r="I92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69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46" i="1"/>
  <c r="I39" i="1"/>
  <c r="I41" i="1"/>
  <c r="I42" i="1"/>
  <c r="I43" i="1"/>
  <c r="I38" i="1"/>
  <c r="I99" i="1"/>
  <c r="I91" i="1" l="1"/>
  <c r="I68" i="1"/>
  <c r="I37" i="1"/>
  <c r="I45" i="1"/>
  <c r="I36" i="1" l="1"/>
  <c r="I30" i="1" l="1"/>
  <c r="I29" i="1"/>
  <c r="I28" i="1"/>
  <c r="I25" i="1"/>
  <c r="I27" i="1"/>
  <c r="I34" i="1"/>
  <c r="I26" i="1"/>
  <c r="I35" i="1" l="1"/>
  <c r="I24" i="1" s="1"/>
  <c r="I100" i="1" l="1"/>
</calcChain>
</file>

<file path=xl/sharedStrings.xml><?xml version="1.0" encoding="utf-8"?>
<sst xmlns="http://schemas.openxmlformats.org/spreadsheetml/2006/main" count="347" uniqueCount="98">
  <si>
    <t xml:space="preserve">i. </t>
  </si>
  <si>
    <t>Denominación del Servicio:</t>
  </si>
  <si>
    <t xml:space="preserve">ii. </t>
  </si>
  <si>
    <t>Nombre del Proveedor:</t>
  </si>
  <si>
    <t xml:space="preserve">iii. </t>
  </si>
  <si>
    <t xml:space="preserve">Fecha de Oferta: </t>
  </si>
  <si>
    <t xml:space="preserve">iv. </t>
  </si>
  <si>
    <t>Validez de la Oferta:</t>
  </si>
  <si>
    <t xml:space="preserve">v. </t>
  </si>
  <si>
    <t>Planta de Cargill</t>
  </si>
  <si>
    <t xml:space="preserve">vi. </t>
  </si>
  <si>
    <t>Fecha estimada de Inicio:</t>
  </si>
  <si>
    <t xml:space="preserve">vii. </t>
  </si>
  <si>
    <t>Tarifario</t>
  </si>
  <si>
    <t>#</t>
  </si>
  <si>
    <t>U.D.M.</t>
  </si>
  <si>
    <t>Precio unitario</t>
  </si>
  <si>
    <t>Precio Total</t>
  </si>
  <si>
    <t>Cantidades  Estimadas</t>
  </si>
  <si>
    <t xml:space="preserve">Duración estimada de la Ejecución: </t>
  </si>
  <si>
    <t xml:space="preserve">viii. </t>
  </si>
  <si>
    <t>i.</t>
  </si>
  <si>
    <t>ii.</t>
  </si>
  <si>
    <t>Plazo Máximo de Finalización:</t>
  </si>
  <si>
    <t>u</t>
  </si>
  <si>
    <t>horas</t>
  </si>
  <si>
    <t>TOTAL OFERTA</t>
  </si>
  <si>
    <t>iii.</t>
  </si>
  <si>
    <t>Materiales y Equipos</t>
  </si>
  <si>
    <t>Ayudante</t>
  </si>
  <si>
    <t>Medio Oficial</t>
  </si>
  <si>
    <t>Oficial</t>
  </si>
  <si>
    <t>Oficial Especializado</t>
  </si>
  <si>
    <t>Oficial soldador calificado combinado procesos SMAW / GTAW</t>
  </si>
  <si>
    <t>Hidroelevador</t>
  </si>
  <si>
    <t>La Mano de Obra contempla el Convenio UOCRA vigente. Los trabajos en planta contemplan el convenio Agroexportador.</t>
  </si>
  <si>
    <t>Mano de Obra EN TALLER</t>
  </si>
  <si>
    <t>PROPUESTA TÉCNICA (DESCRIPCIÓN)</t>
  </si>
  <si>
    <t>PROPUESTA COMERCIAL (TARIFARIO)</t>
  </si>
  <si>
    <t>IDENTIFICACIÓN DE LA OFERTA</t>
  </si>
  <si>
    <t>CANT DE PERSONAL DESTINADO A CUBRIR LA TAREA:</t>
  </si>
  <si>
    <t>DETALLAR PROPUESTA:</t>
  </si>
  <si>
    <t>INDICAR EXCLUSIONES:</t>
  </si>
  <si>
    <r>
      <t xml:space="preserve">VALOR HORA </t>
    </r>
    <r>
      <rPr>
        <b/>
        <u/>
        <sz val="11"/>
        <color rgb="FFFF0000"/>
        <rFont val="Calibri"/>
        <family val="2"/>
        <scheme val="minor"/>
      </rPr>
      <t>NO</t>
    </r>
    <r>
      <rPr>
        <b/>
        <sz val="11"/>
        <color theme="1"/>
        <rFont val="Calibri"/>
        <family val="2"/>
        <scheme val="minor"/>
      </rPr>
      <t xml:space="preserve"> INCLUYE COPA</t>
    </r>
  </si>
  <si>
    <r>
      <t xml:space="preserve">VALOR HORA  </t>
    </r>
    <r>
      <rPr>
        <b/>
        <u/>
        <sz val="11"/>
        <color rgb="FF00B050"/>
        <rFont val="Calibri"/>
        <family val="2"/>
        <scheme val="minor"/>
      </rPr>
      <t>INCLUYE</t>
    </r>
    <r>
      <rPr>
        <b/>
        <sz val="11"/>
        <color theme="1"/>
        <rFont val="Calibri"/>
        <family val="2"/>
        <scheme val="minor"/>
      </rPr>
      <t xml:space="preserve"> COPA</t>
    </r>
  </si>
  <si>
    <t>FECHA DE LA OFERTA</t>
  </si>
  <si>
    <t>SG MONTAJES SRL</t>
  </si>
  <si>
    <t>supervisor</t>
  </si>
  <si>
    <t>Garantía Requerida: 6 MESES</t>
  </si>
  <si>
    <t>Ayudante hora Normal</t>
  </si>
  <si>
    <t>Medio Oficial hora normal</t>
  </si>
  <si>
    <t>Oficial hora normal</t>
  </si>
  <si>
    <t>Oficial Especializado hora normal</t>
  </si>
  <si>
    <t>Oficial soldador calificado hora normal</t>
  </si>
  <si>
    <t>Técnico HyS hora normal</t>
  </si>
  <si>
    <t>Supervisor hora normal</t>
  </si>
  <si>
    <t>Ayudante hora EXTRA SIMPLE</t>
  </si>
  <si>
    <t>Medio Oficial hora EXTRA SIMPLE</t>
  </si>
  <si>
    <t>Oficial hora EXTRA SIMPLE</t>
  </si>
  <si>
    <t>Oficial Especializado hora EXTRA SIMPLE</t>
  </si>
  <si>
    <t>Oficial soldador calificado hora EXTRA SIMPLE</t>
  </si>
  <si>
    <t>Técnico HyS hora EXTRA SIMPLE</t>
  </si>
  <si>
    <t>Supervisor hora EXTRA SIMPLE</t>
  </si>
  <si>
    <t>Ayudante hora EXTRA DOBLE</t>
  </si>
  <si>
    <t>Medio Oficial hora EXTRA DOBLE</t>
  </si>
  <si>
    <t>Oficial hora EXTRA DOBLE</t>
  </si>
  <si>
    <t>Oficial Especializado hora EXTRA DOBLE</t>
  </si>
  <si>
    <t>Oficial soldador calificado hora EXTRA DOBLE</t>
  </si>
  <si>
    <t>Técnico HyS hora EXTRA DOBLE</t>
  </si>
  <si>
    <t>Supervisor hora EXTRA DOBLE</t>
  </si>
  <si>
    <t>Mano de Obra PARADA DE PLANTA</t>
  </si>
  <si>
    <t>Mano de Obra MANTENIMIENTO</t>
  </si>
  <si>
    <t>supervisor horas normales</t>
  </si>
  <si>
    <t>supervisor horas EXTRA SIMPLE</t>
  </si>
  <si>
    <t>supervisor hora EXTRA DOBLE</t>
  </si>
  <si>
    <t>Ayudante hora EMERGENCIA</t>
  </si>
  <si>
    <t>Medio Oficial hora EMERGENCIA</t>
  </si>
  <si>
    <t>Oficial Especializado hora EMERGENCIA</t>
  </si>
  <si>
    <t>Oficial soldador calificado hora EMERGENCIA</t>
  </si>
  <si>
    <t>supervisor horas EMERGENCIA</t>
  </si>
  <si>
    <t>Técnico HyS hora EMERGENCIA</t>
  </si>
  <si>
    <t>Mano de Obra EMERGENCIA MANTENIMIENTO</t>
  </si>
  <si>
    <r>
      <t xml:space="preserve">Aclaraciones: </t>
    </r>
    <r>
      <rPr>
        <b/>
        <u/>
        <sz val="16"/>
        <color rgb="FFFF0000"/>
        <rFont val="Calibri"/>
        <family val="2"/>
        <scheme val="minor"/>
      </rPr>
      <t>LAS HORAS DE EMERGENCIA SE CONTEMPLAN 5 HORAS NORMALES.</t>
    </r>
  </si>
  <si>
    <t>APS</t>
  </si>
  <si>
    <t>planta APS</t>
  </si>
  <si>
    <t>5 días</t>
  </si>
  <si>
    <t>Forma de Pago: 30 días fecha de factura</t>
  </si>
  <si>
    <t>Hidro elevador con barquilla</t>
  </si>
  <si>
    <t>Alquiler de oficinas</t>
  </si>
  <si>
    <t>Alquiler de manitou (incluye chofer y combustible)</t>
  </si>
  <si>
    <t>Traslados ida y vuelta para APG/PA</t>
  </si>
  <si>
    <t>Traslados ida y vuelta  para APS</t>
  </si>
  <si>
    <t xml:space="preserve">relevamiento </t>
  </si>
  <si>
    <t>documentos y 3D</t>
  </si>
  <si>
    <t>Relevamiento, maqueta 3D y documentos anexos para la modificación de los Accesos Oeste en Celda D y E</t>
  </si>
  <si>
    <t>25-30días</t>
  </si>
  <si>
    <t>Ing. Civil</t>
  </si>
  <si>
    <t>se contempla realizar la Ingeniería básica para la extención de los accesos Oeste tanto de la celda D como la celda E. generando los documentos para cotizar la obra a realizar.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</si>
</sst>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[$-2C0A]d&quot; de &quot;mmmm&quot; de &quot;yyyy;@"/>
    <numFmt numFmtId="166" formatCode="_ &quot;$&quot;\ * #,##0.00_ ;_ &quot;$&quot;\ * \-#,##0.00_ ;_ &quot;$&quot;\ * &quot;-&quot;??_ ;_ @_ "/>
    <numFmt numFmtId="167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name val="Segoe UI"/>
      <family val="2"/>
    </font>
    <font>
      <i/>
      <sz val="11"/>
      <name val="Calibri"/>
      <family val="2"/>
      <scheme val="minor"/>
    </font>
    <font>
      <i/>
      <u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00B05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B050"/>
      </bottom>
      <diagonal/>
    </border>
    <border>
      <left/>
      <right/>
      <top style="thick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ck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rgb="FF00B05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B050"/>
      </right>
      <top style="thin">
        <color theme="0" tint="-0.499984740745262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499984740745262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6" fontId="20" fillId="0" borderId="0" applyFont="0" applyFill="0" applyBorder="0" applyAlignment="0" applyProtection="0"/>
  </cellStyleXfs>
  <cellXfs count="117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right" vertical="center"/>
    </xf>
    <xf numFmtId="0" fontId="3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0" fillId="0" borderId="15" xfId="0" applyBorder="1"/>
    <xf numFmtId="0" fontId="5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6" fillId="2" borderId="15" xfId="1" applyFill="1" applyBorder="1" applyAlignment="1" applyProtection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1" fontId="1" fillId="4" borderId="16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right" vertical="center"/>
    </xf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0" fillId="2" borderId="0" xfId="0" applyFill="1"/>
    <xf numFmtId="14" fontId="10" fillId="6" borderId="1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right" vertical="center"/>
    </xf>
    <xf numFmtId="0" fontId="13" fillId="2" borderId="37" xfId="0" applyFont="1" applyFill="1" applyBorder="1" applyAlignment="1">
      <alignment horizontal="left" vertical="center"/>
    </xf>
    <xf numFmtId="0" fontId="13" fillId="2" borderId="38" xfId="0" applyFont="1" applyFill="1" applyBorder="1" applyAlignment="1">
      <alignment vertical="center"/>
    </xf>
    <xf numFmtId="0" fontId="15" fillId="2" borderId="34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vertical="center"/>
    </xf>
    <xf numFmtId="0" fontId="13" fillId="2" borderId="35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" fontId="0" fillId="2" borderId="0" xfId="0" applyNumberFormat="1" applyFill="1" applyAlignment="1" applyProtection="1">
      <alignment vertical="center"/>
      <protection locked="0"/>
    </xf>
    <xf numFmtId="1" fontId="0" fillId="2" borderId="0" xfId="0" applyNumberFormat="1" applyFill="1" applyAlignment="1">
      <alignment horizontal="center" vertical="center"/>
    </xf>
    <xf numFmtId="2" fontId="0" fillId="2" borderId="7" xfId="0" applyNumberFormat="1" applyFill="1" applyBorder="1" applyAlignment="1">
      <alignment horizontal="right" vertical="center"/>
    </xf>
    <xf numFmtId="2" fontId="0" fillId="2" borderId="32" xfId="0" applyNumberFormat="1" applyFill="1" applyBorder="1" applyAlignment="1">
      <alignment horizontal="right" vertical="center"/>
    </xf>
    <xf numFmtId="0" fontId="0" fillId="2" borderId="22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right" vertical="center"/>
    </xf>
    <xf numFmtId="1" fontId="0" fillId="2" borderId="29" xfId="0" applyNumberFormat="1" applyFill="1" applyBorder="1" applyAlignment="1" applyProtection="1">
      <alignment vertical="center"/>
      <protection locked="0"/>
    </xf>
    <xf numFmtId="1" fontId="0" fillId="2" borderId="30" xfId="0" applyNumberFormat="1" applyFill="1" applyBorder="1" applyAlignment="1">
      <alignment horizontal="center" vertical="center"/>
    </xf>
    <xf numFmtId="2" fontId="0" fillId="2" borderId="30" xfId="0" applyNumberFormat="1" applyFill="1" applyBorder="1" applyAlignment="1">
      <alignment horizontal="right" vertical="center"/>
    </xf>
    <xf numFmtId="2" fontId="1" fillId="5" borderId="21" xfId="0" applyNumberFormat="1" applyFont="1" applyFill="1" applyBorder="1" applyAlignment="1">
      <alignment horizontal="right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right" vertical="center"/>
    </xf>
    <xf numFmtId="0" fontId="14" fillId="2" borderId="15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 wrapText="1"/>
    </xf>
    <xf numFmtId="0" fontId="0" fillId="2" borderId="26" xfId="0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" fontId="0" fillId="2" borderId="44" xfId="0" applyNumberFormat="1" applyFill="1" applyBorder="1" applyAlignment="1">
      <alignment horizontal="center" vertical="center"/>
    </xf>
    <xf numFmtId="2" fontId="0" fillId="2" borderId="44" xfId="0" applyNumberForma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4" fontId="0" fillId="2" borderId="0" xfId="0" applyNumberFormat="1" applyFill="1"/>
    <xf numFmtId="1" fontId="1" fillId="2" borderId="16" xfId="0" applyNumberFormat="1" applyFont="1" applyFill="1" applyBorder="1" applyAlignment="1">
      <alignment vertical="center"/>
    </xf>
    <xf numFmtId="0" fontId="0" fillId="2" borderId="15" xfId="0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4" fillId="7" borderId="12" xfId="0" applyFont="1" applyFill="1" applyBorder="1" applyAlignment="1" applyProtection="1">
      <alignment horizontal="center" vertical="center"/>
      <protection locked="0"/>
    </xf>
    <xf numFmtId="0" fontId="4" fillId="7" borderId="13" xfId="0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19" fillId="6" borderId="12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7" fontId="3" fillId="2" borderId="35" xfId="0" applyNumberFormat="1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left" vertical="center" wrapText="1"/>
    </xf>
    <xf numFmtId="15" fontId="4" fillId="2" borderId="37" xfId="0" applyNumberFormat="1" applyFont="1" applyFill="1" applyBorder="1" applyAlignment="1" applyProtection="1">
      <alignment horizontal="left" vertical="center"/>
      <protection locked="0"/>
    </xf>
    <xf numFmtId="15" fontId="4" fillId="2" borderId="40" xfId="0" applyNumberFormat="1" applyFont="1" applyFill="1" applyBorder="1" applyAlignment="1" applyProtection="1">
      <alignment horizontal="left" vertical="center"/>
      <protection locked="0"/>
    </xf>
    <xf numFmtId="15" fontId="4" fillId="2" borderId="38" xfId="0" applyNumberFormat="1" applyFont="1" applyFill="1" applyBorder="1" applyAlignment="1" applyProtection="1">
      <alignment horizontal="left" vertical="center"/>
      <protection locked="0"/>
    </xf>
    <xf numFmtId="0" fontId="3" fillId="2" borderId="34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33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165" fontId="3" fillId="2" borderId="0" xfId="0" applyNumberFormat="1" applyFont="1" applyFill="1" applyAlignment="1" applyProtection="1">
      <alignment horizontal="left" vertical="center"/>
      <protection locked="0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 applyProtection="1">
      <alignment horizontal="center" vertical="center" wrapText="1"/>
      <protection locked="0"/>
    </xf>
    <xf numFmtId="17" fontId="3" fillId="2" borderId="19" xfId="0" applyNumberFormat="1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right" vertical="top" wrapText="1"/>
    </xf>
    <xf numFmtId="0" fontId="4" fillId="2" borderId="19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164" fontId="0" fillId="2" borderId="5" xfId="0" applyNumberFormat="1" applyFill="1" applyBorder="1" applyAlignment="1">
      <alignment horizontal="left" vertical="center" wrapText="1"/>
    </xf>
    <xf numFmtId="0" fontId="1" fillId="0" borderId="41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3" fillId="2" borderId="41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</cellXfs>
  <cellStyles count="5">
    <cellStyle name="Hipervínculo" xfId="1" builtinId="8"/>
    <cellStyle name="Millares 2" xfId="3" xr:uid="{8E2831B6-7970-4427-B292-058A78CBCFC7}"/>
    <cellStyle name="Moneda 2" xfId="4" xr:uid="{481AA24B-ED6B-4C2D-9BF4-C53A294046BB}"/>
    <cellStyle name="Moneda 3" xfId="2" xr:uid="{2DC1BF08-EBDB-4B54-87AB-FE4E45215CB2}"/>
    <cellStyle name="Normal" xfId="0" builtinId="0"/>
  </cellStyles>
  <dxfs count="10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zoomScaleNormal="100" workbookViewId="0">
      <selection activeCell="F42" sqref="F42"/>
    </sheetView>
  </sheetViews>
  <sheetFormatPr baseColWidth="10" defaultColWidth="8.7109375" defaultRowHeight="15" x14ac:dyDescent="0.25"/>
  <cols>
    <col min="1" max="1" width="3.140625" customWidth="1"/>
    <col min="2" max="2" width="11.140625" customWidth="1"/>
    <col min="3" max="3" width="27.42578125" customWidth="1"/>
    <col min="4" max="4" width="3" customWidth="1"/>
    <col min="5" max="5" width="9.85546875" customWidth="1"/>
    <col min="6" max="6" width="12.85546875" customWidth="1"/>
    <col min="7" max="7" width="9.140625" customWidth="1"/>
    <col min="8" max="8" width="14.140625" style="21" customWidth="1"/>
    <col min="9" max="9" width="14.85546875" customWidth="1"/>
    <col min="10" max="10" width="9.5703125" customWidth="1"/>
    <col min="11" max="11" width="19.140625" customWidth="1"/>
  </cols>
  <sheetData>
    <row r="1" spans="1:10" ht="21.6" customHeight="1" thickBot="1" x14ac:dyDescent="0.3">
      <c r="A1" s="78" t="s">
        <v>84</v>
      </c>
      <c r="B1" s="79"/>
      <c r="C1" s="80"/>
      <c r="D1" s="20"/>
      <c r="E1" s="20"/>
      <c r="F1" s="20"/>
      <c r="G1" s="20"/>
      <c r="H1" s="20"/>
      <c r="I1" s="20"/>
    </row>
    <row r="2" spans="1:10" ht="31.5" customHeight="1" thickBot="1" x14ac:dyDescent="0.3">
      <c r="A2" s="21"/>
      <c r="B2" s="21"/>
      <c r="C2" s="21"/>
      <c r="D2" s="5"/>
      <c r="E2" s="81" t="s">
        <v>45</v>
      </c>
      <c r="F2" s="82"/>
      <c r="G2" s="82"/>
      <c r="H2" s="83"/>
      <c r="I2" s="22">
        <v>46240</v>
      </c>
    </row>
    <row r="3" spans="1:10" x14ac:dyDescent="0.25">
      <c r="A3" s="5"/>
      <c r="B3" s="5"/>
      <c r="C3" s="5"/>
      <c r="D3" s="5"/>
      <c r="E3" s="5"/>
      <c r="F3" s="5"/>
      <c r="G3" s="20"/>
      <c r="H3" s="20"/>
      <c r="I3" s="20"/>
    </row>
    <row r="4" spans="1:10" ht="16.5" x14ac:dyDescent="0.25">
      <c r="A4" s="23">
        <v>1</v>
      </c>
      <c r="B4" s="84" t="s">
        <v>39</v>
      </c>
      <c r="C4" s="84"/>
      <c r="D4" s="84"/>
      <c r="E4" s="84"/>
      <c r="F4" s="84"/>
      <c r="G4" s="84"/>
      <c r="H4" s="84"/>
      <c r="I4" s="84"/>
    </row>
    <row r="5" spans="1:10" s="19" customFormat="1" ht="33.75" customHeight="1" x14ac:dyDescent="0.3">
      <c r="A5" s="24" t="s">
        <v>0</v>
      </c>
      <c r="B5" s="25" t="s">
        <v>1</v>
      </c>
      <c r="C5" s="26"/>
      <c r="D5" s="96" t="s">
        <v>94</v>
      </c>
      <c r="E5" s="96"/>
      <c r="F5" s="96"/>
      <c r="G5" s="96"/>
      <c r="H5" s="96"/>
      <c r="I5" s="96"/>
      <c r="J5"/>
    </row>
    <row r="6" spans="1:10" s="19" customFormat="1" ht="17.45" customHeight="1" x14ac:dyDescent="0.3">
      <c r="A6" s="27" t="s">
        <v>2</v>
      </c>
      <c r="B6" s="25" t="s">
        <v>3</v>
      </c>
      <c r="C6" s="26"/>
      <c r="D6" s="93" t="s">
        <v>46</v>
      </c>
      <c r="E6" s="93"/>
      <c r="F6" s="93"/>
      <c r="G6" s="93"/>
      <c r="H6" s="93"/>
      <c r="I6" s="93"/>
      <c r="J6"/>
    </row>
    <row r="7" spans="1:10" s="19" customFormat="1" ht="17.45" customHeight="1" x14ac:dyDescent="0.3">
      <c r="A7" s="27" t="s">
        <v>4</v>
      </c>
      <c r="B7" s="25" t="s">
        <v>5</v>
      </c>
      <c r="C7" s="26"/>
      <c r="D7" s="100"/>
      <c r="E7" s="100"/>
      <c r="F7" s="100"/>
      <c r="G7" s="100"/>
      <c r="H7" s="100"/>
      <c r="I7" s="100"/>
      <c r="J7"/>
    </row>
    <row r="8" spans="1:10" s="19" customFormat="1" ht="21" customHeight="1" x14ac:dyDescent="0.3">
      <c r="A8" s="27" t="s">
        <v>6</v>
      </c>
      <c r="B8" s="25" t="s">
        <v>7</v>
      </c>
      <c r="C8" s="26"/>
      <c r="D8" s="95" t="s">
        <v>85</v>
      </c>
      <c r="E8" s="95"/>
      <c r="F8" s="95"/>
      <c r="G8" s="95"/>
      <c r="H8" s="95"/>
      <c r="I8" s="95"/>
      <c r="J8"/>
    </row>
    <row r="9" spans="1:10" s="19" customFormat="1" ht="17.45" customHeight="1" x14ac:dyDescent="0.3">
      <c r="A9" s="27" t="s">
        <v>8</v>
      </c>
      <c r="B9" s="25" t="s">
        <v>9</v>
      </c>
      <c r="C9" s="26"/>
      <c r="D9" s="95" t="s">
        <v>83</v>
      </c>
      <c r="E9" s="95"/>
      <c r="F9" s="95"/>
      <c r="G9" s="95"/>
      <c r="H9" s="95"/>
      <c r="I9" s="95"/>
      <c r="J9"/>
    </row>
    <row r="10" spans="1:10" s="19" customFormat="1" ht="17.45" customHeight="1" x14ac:dyDescent="0.3">
      <c r="A10" s="27" t="s">
        <v>10</v>
      </c>
      <c r="B10" s="28" t="s">
        <v>11</v>
      </c>
      <c r="C10" s="29"/>
      <c r="D10" s="89">
        <v>46246</v>
      </c>
      <c r="E10" s="90"/>
      <c r="F10" s="90"/>
      <c r="G10" s="90"/>
      <c r="H10" s="90"/>
      <c r="I10" s="91"/>
      <c r="J10"/>
    </row>
    <row r="11" spans="1:10" s="19" customFormat="1" ht="17.45" customHeight="1" x14ac:dyDescent="0.3">
      <c r="A11" s="27" t="s">
        <v>12</v>
      </c>
      <c r="B11" s="30" t="s">
        <v>19</v>
      </c>
      <c r="C11" s="31"/>
      <c r="D11" s="92" t="s">
        <v>95</v>
      </c>
      <c r="E11" s="93"/>
      <c r="F11" s="93"/>
      <c r="G11" s="93"/>
      <c r="H11" s="93"/>
      <c r="I11" s="94"/>
      <c r="J11"/>
    </row>
    <row r="12" spans="1:10" s="19" customFormat="1" ht="17.45" customHeight="1" x14ac:dyDescent="0.3">
      <c r="A12" s="24" t="s">
        <v>20</v>
      </c>
      <c r="B12" s="32" t="s">
        <v>23</v>
      </c>
      <c r="C12" s="33"/>
      <c r="D12" s="85"/>
      <c r="E12" s="86"/>
      <c r="F12" s="86"/>
      <c r="G12" s="86"/>
      <c r="H12" s="86"/>
      <c r="I12" s="87"/>
      <c r="J12"/>
    </row>
    <row r="13" spans="1:10" x14ac:dyDescent="0.25">
      <c r="A13" s="34"/>
      <c r="B13" s="35"/>
      <c r="C13" s="35"/>
      <c r="D13" s="35"/>
      <c r="E13" s="35"/>
      <c r="F13" s="35"/>
      <c r="G13" s="35"/>
      <c r="H13" s="35"/>
      <c r="I13" s="35"/>
    </row>
    <row r="14" spans="1:10" ht="16.5" x14ac:dyDescent="0.25">
      <c r="A14" s="23">
        <v>2</v>
      </c>
      <c r="B14" s="84" t="s">
        <v>37</v>
      </c>
      <c r="C14" s="84"/>
      <c r="D14" s="84"/>
      <c r="E14" s="84"/>
      <c r="F14" s="84"/>
      <c r="G14" s="84"/>
      <c r="H14" s="84"/>
      <c r="I14" s="84"/>
    </row>
    <row r="15" spans="1:10" ht="20.100000000000001" customHeight="1" x14ac:dyDescent="0.25">
      <c r="A15" s="34"/>
      <c r="B15" s="107" t="s">
        <v>41</v>
      </c>
      <c r="C15" s="107"/>
      <c r="D15" s="103" t="s">
        <v>97</v>
      </c>
      <c r="E15" s="103"/>
      <c r="F15" s="103"/>
      <c r="G15" s="103"/>
      <c r="H15" s="103"/>
      <c r="I15" s="103"/>
    </row>
    <row r="16" spans="1:10" ht="24" customHeight="1" x14ac:dyDescent="0.25">
      <c r="A16" s="34"/>
      <c r="B16" s="107"/>
      <c r="C16" s="107"/>
      <c r="D16" s="103"/>
      <c r="E16" s="103"/>
      <c r="F16" s="103"/>
      <c r="G16" s="103"/>
      <c r="H16" s="103"/>
      <c r="I16" s="103"/>
    </row>
    <row r="17" spans="1:9" ht="33" customHeight="1" x14ac:dyDescent="0.25">
      <c r="A17" s="34"/>
      <c r="B17" s="106" t="s">
        <v>40</v>
      </c>
      <c r="C17" s="106"/>
      <c r="D17" s="104"/>
      <c r="E17" s="105"/>
      <c r="F17" s="105"/>
      <c r="G17" s="105"/>
      <c r="H17" s="105"/>
      <c r="I17" s="105"/>
    </row>
    <row r="18" spans="1:9" ht="21.95" customHeight="1" x14ac:dyDescent="0.25">
      <c r="A18" s="34"/>
      <c r="B18" s="107" t="s">
        <v>42</v>
      </c>
      <c r="C18" s="107"/>
      <c r="D18" s="104"/>
      <c r="E18" s="105"/>
      <c r="F18" s="105"/>
      <c r="G18" s="105"/>
      <c r="H18" s="105"/>
      <c r="I18" s="105"/>
    </row>
    <row r="19" spans="1:9" x14ac:dyDescent="0.25">
      <c r="A19" s="34"/>
      <c r="B19" s="35"/>
      <c r="C19" s="35"/>
      <c r="D19" s="35"/>
      <c r="E19" s="35"/>
      <c r="F19" s="35"/>
      <c r="G19" s="35"/>
      <c r="H19" s="35"/>
      <c r="I19" s="35"/>
    </row>
    <row r="20" spans="1:9" ht="16.5" x14ac:dyDescent="0.25">
      <c r="A20" s="23">
        <v>3</v>
      </c>
      <c r="B20" s="84" t="s">
        <v>38</v>
      </c>
      <c r="C20" s="84"/>
      <c r="D20" s="84"/>
      <c r="E20" s="84"/>
      <c r="F20" s="84"/>
      <c r="G20" s="84"/>
      <c r="H20" s="84"/>
      <c r="I20" s="84"/>
    </row>
    <row r="21" spans="1:9" x14ac:dyDescent="0.25">
      <c r="A21" s="36"/>
      <c r="B21" s="37"/>
      <c r="C21" s="35"/>
      <c r="D21" s="35"/>
      <c r="E21" s="35"/>
      <c r="F21" s="35"/>
      <c r="G21" s="35"/>
      <c r="H21" s="35"/>
      <c r="I21" s="35"/>
    </row>
    <row r="22" spans="1:9" ht="30" x14ac:dyDescent="0.25">
      <c r="A22" s="38" t="s">
        <v>14</v>
      </c>
      <c r="B22" s="39" t="s">
        <v>13</v>
      </c>
      <c r="C22" s="39"/>
      <c r="D22" s="39"/>
      <c r="E22" s="40"/>
      <c r="F22" s="40" t="s">
        <v>18</v>
      </c>
      <c r="G22" s="40" t="s">
        <v>15</v>
      </c>
      <c r="H22" s="67" t="s">
        <v>16</v>
      </c>
      <c r="I22" s="41" t="s">
        <v>17</v>
      </c>
    </row>
    <row r="23" spans="1:9" x14ac:dyDescent="0.25">
      <c r="A23" s="101"/>
      <c r="B23" s="102"/>
      <c r="C23" s="102"/>
      <c r="D23" s="102"/>
      <c r="E23" s="102"/>
      <c r="F23" s="42"/>
      <c r="G23" s="42"/>
      <c r="H23" s="68"/>
      <c r="I23" s="43"/>
    </row>
    <row r="24" spans="1:9" x14ac:dyDescent="0.25">
      <c r="A24" s="1"/>
      <c r="B24" s="108" t="s">
        <v>28</v>
      </c>
      <c r="C24" s="108"/>
      <c r="D24" s="108"/>
      <c r="E24" s="108"/>
      <c r="F24" s="2"/>
      <c r="G24" s="3"/>
      <c r="H24" s="3"/>
      <c r="I24" s="4">
        <f>+SUM(I25:I36)</f>
        <v>3</v>
      </c>
    </row>
    <row r="25" spans="1:9" ht="15" customHeight="1" x14ac:dyDescent="0.25">
      <c r="A25" s="44">
        <v>1</v>
      </c>
      <c r="B25" s="88" t="s">
        <v>34</v>
      </c>
      <c r="C25" s="88" t="s">
        <v>34</v>
      </c>
      <c r="D25" s="88" t="s">
        <v>34</v>
      </c>
      <c r="E25" s="88" t="s">
        <v>34</v>
      </c>
      <c r="F25" s="45"/>
      <c r="G25" s="46" t="s">
        <v>24</v>
      </c>
      <c r="H25" s="69">
        <v>83983</v>
      </c>
      <c r="I25" s="47" t="str">
        <f>IF(F25&gt;0,H25*F25,"")</f>
        <v/>
      </c>
    </row>
    <row r="26" spans="1:9" ht="15" customHeight="1" x14ac:dyDescent="0.25">
      <c r="A26" s="44">
        <v>2</v>
      </c>
      <c r="B26" s="88" t="s">
        <v>87</v>
      </c>
      <c r="C26" s="88" t="s">
        <v>87</v>
      </c>
      <c r="D26" s="88" t="s">
        <v>87</v>
      </c>
      <c r="E26" s="88" t="s">
        <v>87</v>
      </c>
      <c r="F26" s="45"/>
      <c r="G26" s="46" t="s">
        <v>24</v>
      </c>
      <c r="H26" s="69">
        <v>71062</v>
      </c>
      <c r="I26" s="47" t="str">
        <f t="shared" ref="I26:I99" si="0">IF(F26&gt;0,H26*F26,"")</f>
        <v/>
      </c>
    </row>
    <row r="27" spans="1:9" ht="15" customHeight="1" x14ac:dyDescent="0.25">
      <c r="A27" s="44">
        <v>3</v>
      </c>
      <c r="B27" s="88" t="s">
        <v>88</v>
      </c>
      <c r="C27" s="88" t="s">
        <v>88</v>
      </c>
      <c r="D27" s="88" t="s">
        <v>88</v>
      </c>
      <c r="E27" s="88" t="s">
        <v>88</v>
      </c>
      <c r="F27" s="45"/>
      <c r="G27" s="46" t="s">
        <v>24</v>
      </c>
      <c r="H27" s="69">
        <v>310089</v>
      </c>
      <c r="I27" s="47" t="str">
        <f t="shared" si="0"/>
        <v/>
      </c>
    </row>
    <row r="28" spans="1:9" x14ac:dyDescent="0.25">
      <c r="A28" s="44">
        <v>4</v>
      </c>
      <c r="B28" s="88" t="s">
        <v>89</v>
      </c>
      <c r="C28" s="88" t="s">
        <v>89</v>
      </c>
      <c r="D28" s="88" t="s">
        <v>89</v>
      </c>
      <c r="E28" s="88" t="s">
        <v>89</v>
      </c>
      <c r="F28" s="45"/>
      <c r="G28" s="46" t="s">
        <v>24</v>
      </c>
      <c r="H28" s="69">
        <v>137566</v>
      </c>
      <c r="I28" s="47" t="str">
        <f t="shared" si="0"/>
        <v/>
      </c>
    </row>
    <row r="29" spans="1:9" ht="15" customHeight="1" x14ac:dyDescent="0.25">
      <c r="A29" s="44">
        <v>5</v>
      </c>
      <c r="B29" s="88" t="s">
        <v>90</v>
      </c>
      <c r="C29" s="88" t="s">
        <v>90</v>
      </c>
      <c r="D29" s="88" t="s">
        <v>90</v>
      </c>
      <c r="E29" s="88" t="s">
        <v>90</v>
      </c>
      <c r="F29" s="45"/>
      <c r="G29" s="46" t="s">
        <v>24</v>
      </c>
      <c r="H29" s="69">
        <v>464144</v>
      </c>
      <c r="I29" s="47" t="str">
        <f t="shared" si="0"/>
        <v/>
      </c>
    </row>
    <row r="30" spans="1:9" ht="15" customHeight="1" x14ac:dyDescent="0.25">
      <c r="A30" s="44">
        <v>6</v>
      </c>
      <c r="B30" s="88" t="s">
        <v>91</v>
      </c>
      <c r="C30" s="88" t="s">
        <v>91</v>
      </c>
      <c r="D30" s="88" t="s">
        <v>91</v>
      </c>
      <c r="E30" s="88" t="s">
        <v>91</v>
      </c>
      <c r="F30" s="45"/>
      <c r="G30" s="46" t="s">
        <v>24</v>
      </c>
      <c r="H30" s="69">
        <v>111842</v>
      </c>
      <c r="I30" s="47" t="str">
        <f t="shared" si="0"/>
        <v/>
      </c>
    </row>
    <row r="31" spans="1:9" ht="15" customHeight="1" x14ac:dyDescent="0.25">
      <c r="A31" s="44">
        <v>7</v>
      </c>
      <c r="B31" s="88" t="s">
        <v>92</v>
      </c>
      <c r="C31" s="72"/>
      <c r="D31" s="72"/>
      <c r="E31" s="72"/>
      <c r="F31" s="45">
        <v>1</v>
      </c>
      <c r="G31" s="46" t="s">
        <v>24</v>
      </c>
      <c r="H31" s="45">
        <v>1750000</v>
      </c>
      <c r="I31" s="47">
        <v>1</v>
      </c>
    </row>
    <row r="32" spans="1:9" ht="15" customHeight="1" x14ac:dyDescent="0.25">
      <c r="A32" s="44">
        <v>8</v>
      </c>
      <c r="B32" s="88" t="s">
        <v>93</v>
      </c>
      <c r="C32" s="72"/>
      <c r="D32" s="72"/>
      <c r="E32" s="72"/>
      <c r="F32" s="45">
        <v>1</v>
      </c>
      <c r="G32" s="46" t="s">
        <v>24</v>
      </c>
      <c r="H32" s="45">
        <v>5120350</v>
      </c>
      <c r="I32" s="47">
        <v>1</v>
      </c>
    </row>
    <row r="33" spans="1:10" ht="15" customHeight="1" x14ac:dyDescent="0.25">
      <c r="A33" s="44">
        <v>9</v>
      </c>
      <c r="B33" s="88" t="s">
        <v>96</v>
      </c>
      <c r="C33" s="72"/>
      <c r="D33" s="72"/>
      <c r="E33" s="72"/>
      <c r="F33" s="45">
        <v>1</v>
      </c>
      <c r="G33" s="46" t="s">
        <v>24</v>
      </c>
      <c r="H33" s="45">
        <v>4350000</v>
      </c>
      <c r="I33" s="47">
        <v>1</v>
      </c>
    </row>
    <row r="34" spans="1:10" ht="15" customHeight="1" x14ac:dyDescent="0.25">
      <c r="A34" s="44">
        <v>10</v>
      </c>
      <c r="B34" s="88"/>
      <c r="C34" s="72"/>
      <c r="D34" s="72"/>
      <c r="E34" s="72"/>
      <c r="F34" s="45"/>
      <c r="G34" s="46" t="s">
        <v>24</v>
      </c>
      <c r="H34" s="69"/>
      <c r="I34" s="47" t="str">
        <f t="shared" si="0"/>
        <v/>
      </c>
    </row>
    <row r="35" spans="1:10" ht="15" customHeight="1" x14ac:dyDescent="0.25">
      <c r="A35" s="44">
        <v>11</v>
      </c>
      <c r="B35" s="88"/>
      <c r="C35" s="72"/>
      <c r="D35" s="72"/>
      <c r="E35" s="72"/>
      <c r="F35" s="45"/>
      <c r="G35" s="46" t="s">
        <v>24</v>
      </c>
      <c r="I35" s="47" t="str">
        <f t="shared" si="0"/>
        <v/>
      </c>
    </row>
    <row r="36" spans="1:10" ht="15" customHeight="1" thickBot="1" x14ac:dyDescent="0.3">
      <c r="A36" s="44">
        <v>12</v>
      </c>
      <c r="B36" s="109"/>
      <c r="C36" s="75"/>
      <c r="D36" s="75"/>
      <c r="E36" s="75"/>
      <c r="F36" s="45"/>
      <c r="G36" s="46" t="s">
        <v>24</v>
      </c>
      <c r="I36" s="48" t="str">
        <f t="shared" si="0"/>
        <v/>
      </c>
    </row>
    <row r="37" spans="1:10" x14ac:dyDescent="0.25">
      <c r="A37" s="49"/>
      <c r="B37" s="74" t="s">
        <v>36</v>
      </c>
      <c r="C37" s="74"/>
      <c r="D37" s="74"/>
      <c r="E37" s="74"/>
      <c r="F37" s="16"/>
      <c r="G37" s="17"/>
      <c r="H37" s="17"/>
      <c r="I37" s="18">
        <f>+SUM(I38:I44)</f>
        <v>1655368</v>
      </c>
      <c r="J37" s="97" t="s">
        <v>43</v>
      </c>
    </row>
    <row r="38" spans="1:10" x14ac:dyDescent="0.25">
      <c r="A38" s="50">
        <v>13</v>
      </c>
      <c r="B38" s="72" t="s">
        <v>29</v>
      </c>
      <c r="C38" s="72"/>
      <c r="D38" s="72"/>
      <c r="E38" s="72"/>
      <c r="F38" s="45">
        <v>20</v>
      </c>
      <c r="G38" s="51" t="s">
        <v>25</v>
      </c>
      <c r="H38" s="69">
        <v>25275</v>
      </c>
      <c r="I38" s="52">
        <f>H38*F38</f>
        <v>505500</v>
      </c>
      <c r="J38" s="98"/>
    </row>
    <row r="39" spans="1:10" x14ac:dyDescent="0.25">
      <c r="A39" s="50">
        <v>14</v>
      </c>
      <c r="B39" s="75" t="s">
        <v>30</v>
      </c>
      <c r="C39" s="75"/>
      <c r="D39" s="75"/>
      <c r="E39" s="75"/>
      <c r="F39" s="45">
        <v>20</v>
      </c>
      <c r="G39" s="51" t="s">
        <v>25</v>
      </c>
      <c r="H39" s="69">
        <v>25319</v>
      </c>
      <c r="I39" s="52">
        <f t="shared" ref="I39:I43" si="1">H39*F39</f>
        <v>506380</v>
      </c>
      <c r="J39" s="98"/>
    </row>
    <row r="40" spans="1:10" x14ac:dyDescent="0.25">
      <c r="A40" s="50">
        <v>15</v>
      </c>
      <c r="B40" s="75" t="s">
        <v>31</v>
      </c>
      <c r="C40" s="75"/>
      <c r="D40" s="75"/>
      <c r="E40" s="75"/>
      <c r="F40" s="45">
        <v>20</v>
      </c>
      <c r="G40" s="51" t="s">
        <v>25</v>
      </c>
      <c r="H40" s="69">
        <v>26444</v>
      </c>
      <c r="I40" s="52">
        <f>H40*F40</f>
        <v>528880</v>
      </c>
      <c r="J40" s="98"/>
    </row>
    <row r="41" spans="1:10" x14ac:dyDescent="0.25">
      <c r="A41" s="50">
        <v>16</v>
      </c>
      <c r="B41" s="75" t="s">
        <v>32</v>
      </c>
      <c r="C41" s="75"/>
      <c r="D41" s="75"/>
      <c r="E41" s="75"/>
      <c r="F41" s="45">
        <v>4</v>
      </c>
      <c r="G41" s="51" t="s">
        <v>25</v>
      </c>
      <c r="H41" s="69">
        <v>28652</v>
      </c>
      <c r="I41" s="52">
        <f t="shared" si="1"/>
        <v>114608</v>
      </c>
      <c r="J41" s="98"/>
    </row>
    <row r="42" spans="1:10" x14ac:dyDescent="0.25">
      <c r="A42" s="50">
        <v>18</v>
      </c>
      <c r="B42" s="75" t="s">
        <v>33</v>
      </c>
      <c r="C42" s="75"/>
      <c r="D42" s="75"/>
      <c r="E42" s="75"/>
      <c r="F42" s="45"/>
      <c r="G42" s="51" t="s">
        <v>25</v>
      </c>
      <c r="H42" s="69">
        <v>29601</v>
      </c>
      <c r="I42" s="52">
        <f t="shared" si="1"/>
        <v>0</v>
      </c>
      <c r="J42" s="98"/>
    </row>
    <row r="43" spans="1:10" x14ac:dyDescent="0.25">
      <c r="A43" s="50"/>
      <c r="B43" s="75" t="s">
        <v>47</v>
      </c>
      <c r="C43" s="75"/>
      <c r="D43" s="75"/>
      <c r="E43" s="75"/>
      <c r="F43" s="45"/>
      <c r="G43" s="51" t="s">
        <v>25</v>
      </c>
      <c r="H43" s="69">
        <v>28652</v>
      </c>
      <c r="I43" s="52">
        <f t="shared" si="1"/>
        <v>0</v>
      </c>
      <c r="J43" s="98"/>
    </row>
    <row r="44" spans="1:10" ht="15.75" thickBot="1" x14ac:dyDescent="0.3">
      <c r="A44" s="50"/>
      <c r="B44" s="116"/>
      <c r="C44" s="116"/>
      <c r="D44" s="116"/>
      <c r="E44" s="116"/>
      <c r="F44" s="45"/>
      <c r="G44" s="51"/>
      <c r="H44" s="45"/>
      <c r="I44" s="52"/>
      <c r="J44" s="98"/>
    </row>
    <row r="45" spans="1:10" ht="14.45" customHeight="1" x14ac:dyDescent="0.25">
      <c r="A45" s="49"/>
      <c r="B45" s="74" t="s">
        <v>71</v>
      </c>
      <c r="C45" s="74"/>
      <c r="D45" s="74"/>
      <c r="E45" s="74"/>
      <c r="F45" s="16"/>
      <c r="G45" s="17"/>
      <c r="H45" s="17"/>
      <c r="I45" s="18">
        <f>+SUM(I46:I66)</f>
        <v>0</v>
      </c>
      <c r="J45" s="97" t="s">
        <v>44</v>
      </c>
    </row>
    <row r="46" spans="1:10" ht="14.45" customHeight="1" x14ac:dyDescent="0.25">
      <c r="A46" s="50">
        <v>19</v>
      </c>
      <c r="B46" s="72" t="s">
        <v>49</v>
      </c>
      <c r="C46" s="72" t="s">
        <v>49</v>
      </c>
      <c r="D46" s="72" t="s">
        <v>49</v>
      </c>
      <c r="E46" s="72" t="s">
        <v>49</v>
      </c>
      <c r="F46" s="45"/>
      <c r="G46" s="51" t="s">
        <v>25</v>
      </c>
      <c r="H46" s="69">
        <v>28657</v>
      </c>
      <c r="I46" s="52">
        <f>H46*F46</f>
        <v>0</v>
      </c>
      <c r="J46" s="98"/>
    </row>
    <row r="47" spans="1:10" ht="14.45" customHeight="1" x14ac:dyDescent="0.25">
      <c r="A47" s="50">
        <v>20</v>
      </c>
      <c r="B47" s="72" t="s">
        <v>50</v>
      </c>
      <c r="C47" s="72" t="s">
        <v>50</v>
      </c>
      <c r="D47" s="72" t="s">
        <v>50</v>
      </c>
      <c r="E47" s="72" t="s">
        <v>50</v>
      </c>
      <c r="F47" s="45"/>
      <c r="G47" s="51" t="s">
        <v>25</v>
      </c>
      <c r="H47" s="69">
        <v>28962</v>
      </c>
      <c r="I47" s="52">
        <f t="shared" ref="I47:I66" si="2">H47*F47</f>
        <v>0</v>
      </c>
      <c r="J47" s="98"/>
    </row>
    <row r="48" spans="1:10" ht="14.45" customHeight="1" x14ac:dyDescent="0.25">
      <c r="A48" s="50">
        <v>21</v>
      </c>
      <c r="B48" s="72" t="s">
        <v>51</v>
      </c>
      <c r="C48" s="72" t="s">
        <v>51</v>
      </c>
      <c r="D48" s="72" t="s">
        <v>51</v>
      </c>
      <c r="E48" s="72" t="s">
        <v>51</v>
      </c>
      <c r="F48" s="45"/>
      <c r="G48" s="51" t="s">
        <v>25</v>
      </c>
      <c r="H48" s="69">
        <v>30423</v>
      </c>
      <c r="I48" s="52">
        <f t="shared" si="2"/>
        <v>0</v>
      </c>
      <c r="J48" s="98"/>
    </row>
    <row r="49" spans="1:10" ht="14.45" customHeight="1" x14ac:dyDescent="0.25">
      <c r="A49" s="50">
        <v>22</v>
      </c>
      <c r="B49" s="72" t="s">
        <v>52</v>
      </c>
      <c r="C49" s="72" t="s">
        <v>52</v>
      </c>
      <c r="D49" s="72" t="s">
        <v>52</v>
      </c>
      <c r="E49" s="72" t="s">
        <v>52</v>
      </c>
      <c r="F49" s="45"/>
      <c r="G49" s="51" t="s">
        <v>25</v>
      </c>
      <c r="H49" s="69">
        <v>33654</v>
      </c>
      <c r="I49" s="52">
        <f t="shared" si="2"/>
        <v>0</v>
      </c>
      <c r="J49" s="98"/>
    </row>
    <row r="50" spans="1:10" ht="14.45" customHeight="1" x14ac:dyDescent="0.25">
      <c r="A50" s="50">
        <v>23</v>
      </c>
      <c r="B50" s="72" t="s">
        <v>53</v>
      </c>
      <c r="C50" s="72" t="s">
        <v>53</v>
      </c>
      <c r="D50" s="72" t="s">
        <v>53</v>
      </c>
      <c r="E50" s="72" t="s">
        <v>53</v>
      </c>
      <c r="F50" s="45"/>
      <c r="G50" s="51" t="s">
        <v>25</v>
      </c>
      <c r="H50" s="69">
        <v>34672</v>
      </c>
      <c r="I50" s="52">
        <f t="shared" si="2"/>
        <v>0</v>
      </c>
      <c r="J50" s="98"/>
    </row>
    <row r="51" spans="1:10" ht="14.45" customHeight="1" x14ac:dyDescent="0.25">
      <c r="A51" s="50">
        <v>24</v>
      </c>
      <c r="B51" s="72" t="s">
        <v>72</v>
      </c>
      <c r="C51" s="72" t="s">
        <v>54</v>
      </c>
      <c r="D51" s="72" t="s">
        <v>54</v>
      </c>
      <c r="E51" s="72" t="s">
        <v>54</v>
      </c>
      <c r="F51" s="45"/>
      <c r="G51" s="51" t="s">
        <v>25</v>
      </c>
      <c r="H51" s="69">
        <v>33654</v>
      </c>
      <c r="I51" s="52">
        <f t="shared" si="2"/>
        <v>0</v>
      </c>
      <c r="J51" s="98"/>
    </row>
    <row r="52" spans="1:10" ht="15" customHeight="1" thickBot="1" x14ac:dyDescent="0.3">
      <c r="A52" s="50">
        <v>25</v>
      </c>
      <c r="B52" s="73" t="s">
        <v>54</v>
      </c>
      <c r="C52" s="73" t="s">
        <v>55</v>
      </c>
      <c r="D52" s="73" t="s">
        <v>55</v>
      </c>
      <c r="E52" s="73" t="s">
        <v>55</v>
      </c>
      <c r="F52" s="45"/>
      <c r="G52" s="51" t="s">
        <v>25</v>
      </c>
      <c r="H52" s="69">
        <v>27419</v>
      </c>
      <c r="I52" s="52">
        <f t="shared" si="2"/>
        <v>0</v>
      </c>
      <c r="J52" s="98"/>
    </row>
    <row r="53" spans="1:10" ht="15" customHeight="1" thickTop="1" x14ac:dyDescent="0.25">
      <c r="A53" s="50">
        <v>26</v>
      </c>
      <c r="B53" s="77" t="s">
        <v>56</v>
      </c>
      <c r="C53" s="77" t="s">
        <v>56</v>
      </c>
      <c r="D53" s="77" t="s">
        <v>56</v>
      </c>
      <c r="E53" s="77" t="s">
        <v>56</v>
      </c>
      <c r="F53" s="45"/>
      <c r="G53" s="51" t="s">
        <v>25</v>
      </c>
      <c r="H53" s="69">
        <v>38969</v>
      </c>
      <c r="I53" s="52">
        <f t="shared" si="2"/>
        <v>0</v>
      </c>
      <c r="J53" s="98"/>
    </row>
    <row r="54" spans="1:10" ht="14.45" customHeight="1" x14ac:dyDescent="0.25">
      <c r="A54" s="50">
        <v>27</v>
      </c>
      <c r="B54" s="75" t="s">
        <v>57</v>
      </c>
      <c r="C54" s="75" t="s">
        <v>57</v>
      </c>
      <c r="D54" s="75" t="s">
        <v>57</v>
      </c>
      <c r="E54" s="75" t="s">
        <v>57</v>
      </c>
      <c r="F54" s="45"/>
      <c r="G54" s="51" t="s">
        <v>25</v>
      </c>
      <c r="H54" s="69">
        <v>39391</v>
      </c>
      <c r="I54" s="52">
        <f t="shared" si="2"/>
        <v>0</v>
      </c>
      <c r="J54" s="98"/>
    </row>
    <row r="55" spans="1:10" ht="14.45" customHeight="1" x14ac:dyDescent="0.25">
      <c r="A55" s="50">
        <v>28</v>
      </c>
      <c r="B55" s="75" t="s">
        <v>58</v>
      </c>
      <c r="C55" s="75" t="s">
        <v>58</v>
      </c>
      <c r="D55" s="75" t="s">
        <v>58</v>
      </c>
      <c r="E55" s="75" t="s">
        <v>58</v>
      </c>
      <c r="F55" s="45"/>
      <c r="G55" s="51" t="s">
        <v>25</v>
      </c>
      <c r="H55" s="69">
        <v>41366</v>
      </c>
      <c r="I55" s="52">
        <f t="shared" si="2"/>
        <v>0</v>
      </c>
      <c r="J55" s="98"/>
    </row>
    <row r="56" spans="1:10" ht="14.45" customHeight="1" x14ac:dyDescent="0.25">
      <c r="A56" s="50">
        <v>29</v>
      </c>
      <c r="B56" s="75" t="s">
        <v>59</v>
      </c>
      <c r="C56" s="75" t="s">
        <v>59</v>
      </c>
      <c r="D56" s="75" t="s">
        <v>59</v>
      </c>
      <c r="E56" s="75" t="s">
        <v>59</v>
      </c>
      <c r="F56" s="45"/>
      <c r="G56" s="51" t="s">
        <v>25</v>
      </c>
      <c r="H56" s="69">
        <v>45753</v>
      </c>
      <c r="I56" s="52">
        <f t="shared" si="2"/>
        <v>0</v>
      </c>
      <c r="J56" s="98"/>
    </row>
    <row r="57" spans="1:10" ht="14.45" customHeight="1" x14ac:dyDescent="0.25">
      <c r="A57" s="50">
        <v>30</v>
      </c>
      <c r="B57" s="75" t="s">
        <v>60</v>
      </c>
      <c r="C57" s="75" t="s">
        <v>60</v>
      </c>
      <c r="D57" s="75" t="s">
        <v>60</v>
      </c>
      <c r="E57" s="75" t="s">
        <v>60</v>
      </c>
      <c r="F57" s="45"/>
      <c r="G57" s="51" t="s">
        <v>25</v>
      </c>
      <c r="H57" s="69">
        <v>47146</v>
      </c>
      <c r="I57" s="52">
        <f t="shared" si="2"/>
        <v>0</v>
      </c>
      <c r="J57" s="98"/>
    </row>
    <row r="58" spans="1:10" ht="14.45" customHeight="1" x14ac:dyDescent="0.25">
      <c r="A58" s="50">
        <v>31</v>
      </c>
      <c r="B58" s="75" t="s">
        <v>73</v>
      </c>
      <c r="C58" s="75" t="s">
        <v>61</v>
      </c>
      <c r="D58" s="75" t="s">
        <v>61</v>
      </c>
      <c r="E58" s="75" t="s">
        <v>61</v>
      </c>
      <c r="F58" s="45"/>
      <c r="G58" s="51" t="s">
        <v>25</v>
      </c>
      <c r="H58" s="69">
        <v>45753</v>
      </c>
      <c r="I58" s="52">
        <f t="shared" si="2"/>
        <v>0</v>
      </c>
      <c r="J58" s="98"/>
    </row>
    <row r="59" spans="1:10" ht="15" customHeight="1" thickBot="1" x14ac:dyDescent="0.3">
      <c r="A59" s="50">
        <v>32</v>
      </c>
      <c r="B59" s="73" t="s">
        <v>61</v>
      </c>
      <c r="C59" s="73" t="s">
        <v>62</v>
      </c>
      <c r="D59" s="73" t="s">
        <v>62</v>
      </c>
      <c r="E59" s="73" t="s">
        <v>62</v>
      </c>
      <c r="F59" s="45"/>
      <c r="G59" s="51" t="s">
        <v>25</v>
      </c>
      <c r="H59" s="69">
        <v>37290</v>
      </c>
      <c r="I59" s="52">
        <f t="shared" si="2"/>
        <v>0</v>
      </c>
      <c r="J59" s="98"/>
    </row>
    <row r="60" spans="1:10" ht="15" customHeight="1" thickTop="1" x14ac:dyDescent="0.25">
      <c r="A60" s="50">
        <v>33</v>
      </c>
      <c r="B60" s="76" t="s">
        <v>63</v>
      </c>
      <c r="C60" s="76" t="s">
        <v>63</v>
      </c>
      <c r="D60" s="76" t="s">
        <v>63</v>
      </c>
      <c r="E60" s="76" t="s">
        <v>63</v>
      </c>
      <c r="F60" s="45"/>
      <c r="G60" s="51" t="s">
        <v>25</v>
      </c>
      <c r="H60" s="69">
        <v>50421</v>
      </c>
      <c r="I60" s="52">
        <f t="shared" si="2"/>
        <v>0</v>
      </c>
      <c r="J60" s="98"/>
    </row>
    <row r="61" spans="1:10" ht="14.45" customHeight="1" x14ac:dyDescent="0.25">
      <c r="A61" s="50">
        <v>34</v>
      </c>
      <c r="B61" s="75" t="s">
        <v>64</v>
      </c>
      <c r="C61" s="75" t="s">
        <v>64</v>
      </c>
      <c r="D61" s="75" t="s">
        <v>64</v>
      </c>
      <c r="E61" s="75" t="s">
        <v>64</v>
      </c>
      <c r="F61" s="45"/>
      <c r="G61" s="51" t="s">
        <v>25</v>
      </c>
      <c r="H61" s="69">
        <v>50981</v>
      </c>
      <c r="I61" s="52">
        <f t="shared" si="2"/>
        <v>0</v>
      </c>
      <c r="J61" s="98"/>
    </row>
    <row r="62" spans="1:10" ht="14.45" customHeight="1" x14ac:dyDescent="0.25">
      <c r="A62" s="50">
        <v>35</v>
      </c>
      <c r="B62" s="75" t="s">
        <v>65</v>
      </c>
      <c r="C62" s="75" t="s">
        <v>65</v>
      </c>
      <c r="D62" s="75" t="s">
        <v>65</v>
      </c>
      <c r="E62" s="75" t="s">
        <v>65</v>
      </c>
      <c r="F62" s="45"/>
      <c r="G62" s="51" t="s">
        <v>25</v>
      </c>
      <c r="H62" s="69">
        <v>53523</v>
      </c>
      <c r="I62" s="52">
        <f t="shared" si="2"/>
        <v>0</v>
      </c>
      <c r="J62" s="98"/>
    </row>
    <row r="63" spans="1:10" ht="14.45" customHeight="1" x14ac:dyDescent="0.25">
      <c r="A63" s="50">
        <v>36</v>
      </c>
      <c r="B63" s="75" t="s">
        <v>66</v>
      </c>
      <c r="C63" s="75" t="s">
        <v>66</v>
      </c>
      <c r="D63" s="75" t="s">
        <v>66</v>
      </c>
      <c r="E63" s="75" t="s">
        <v>66</v>
      </c>
      <c r="F63" s="45"/>
      <c r="G63" s="51" t="s">
        <v>25</v>
      </c>
      <c r="H63" s="69">
        <v>59216</v>
      </c>
      <c r="I63" s="52">
        <f t="shared" si="2"/>
        <v>0</v>
      </c>
      <c r="J63" s="98"/>
    </row>
    <row r="64" spans="1:10" ht="14.45" customHeight="1" x14ac:dyDescent="0.25">
      <c r="A64" s="50">
        <v>37</v>
      </c>
      <c r="B64" s="75" t="s">
        <v>67</v>
      </c>
      <c r="C64" s="75" t="s">
        <v>67</v>
      </c>
      <c r="D64" s="75" t="s">
        <v>67</v>
      </c>
      <c r="E64" s="75" t="s">
        <v>67</v>
      </c>
      <c r="F64" s="45"/>
      <c r="G64" s="51" t="s">
        <v>25</v>
      </c>
      <c r="H64" s="69">
        <v>61016</v>
      </c>
      <c r="I64" s="52">
        <f t="shared" si="2"/>
        <v>0</v>
      </c>
      <c r="J64" s="98"/>
    </row>
    <row r="65" spans="1:10" ht="14.45" customHeight="1" x14ac:dyDescent="0.25">
      <c r="A65" s="50">
        <v>38</v>
      </c>
      <c r="B65" s="75" t="s">
        <v>74</v>
      </c>
      <c r="C65" s="75" t="s">
        <v>68</v>
      </c>
      <c r="D65" s="75" t="s">
        <v>68</v>
      </c>
      <c r="E65" s="75" t="s">
        <v>68</v>
      </c>
      <c r="F65" s="45"/>
      <c r="G65" s="51" t="s">
        <v>25</v>
      </c>
      <c r="H65" s="69">
        <v>59216</v>
      </c>
      <c r="I65" s="52">
        <f t="shared" si="2"/>
        <v>0</v>
      </c>
      <c r="J65" s="98"/>
    </row>
    <row r="66" spans="1:10" ht="14.45" customHeight="1" x14ac:dyDescent="0.25">
      <c r="A66" s="50">
        <v>39</v>
      </c>
      <c r="B66" s="72" t="s">
        <v>68</v>
      </c>
      <c r="C66" s="72" t="s">
        <v>69</v>
      </c>
      <c r="D66" s="72" t="s">
        <v>69</v>
      </c>
      <c r="E66" s="72" t="s">
        <v>69</v>
      </c>
      <c r="F66" s="45"/>
      <c r="G66" s="51" t="s">
        <v>25</v>
      </c>
      <c r="H66" s="69">
        <v>48806</v>
      </c>
      <c r="I66" s="52">
        <f t="shared" si="2"/>
        <v>0</v>
      </c>
      <c r="J66" s="98"/>
    </row>
    <row r="67" spans="1:10" ht="22.5" customHeight="1" thickBot="1" x14ac:dyDescent="0.3">
      <c r="A67" s="50"/>
      <c r="B67" s="61"/>
      <c r="C67" s="61"/>
      <c r="D67" s="61"/>
      <c r="E67" s="61"/>
      <c r="F67" s="45"/>
      <c r="G67" s="51"/>
      <c r="H67" s="45"/>
      <c r="I67" s="52"/>
      <c r="J67" s="98"/>
    </row>
    <row r="68" spans="1:10" ht="14.45" customHeight="1" x14ac:dyDescent="0.25">
      <c r="A68" s="49"/>
      <c r="B68" s="74" t="s">
        <v>70</v>
      </c>
      <c r="C68" s="74"/>
      <c r="D68" s="74"/>
      <c r="E68" s="74"/>
      <c r="F68" s="16"/>
      <c r="G68" s="17"/>
      <c r="H68" s="17"/>
      <c r="I68" s="18">
        <f>+SUM(I69:I89)</f>
        <v>0</v>
      </c>
      <c r="J68" s="98"/>
    </row>
    <row r="69" spans="1:10" ht="14.45" customHeight="1" x14ac:dyDescent="0.25">
      <c r="A69" s="62"/>
      <c r="B69" s="72" t="s">
        <v>49</v>
      </c>
      <c r="C69" s="72" t="s">
        <v>49</v>
      </c>
      <c r="D69" s="72" t="s">
        <v>49</v>
      </c>
      <c r="E69" s="72" t="s">
        <v>49</v>
      </c>
      <c r="F69" s="45"/>
      <c r="G69" s="51" t="s">
        <v>25</v>
      </c>
      <c r="H69" s="69">
        <v>29067</v>
      </c>
      <c r="I69" s="52">
        <f>H69*F69</f>
        <v>0</v>
      </c>
      <c r="J69" s="98"/>
    </row>
    <row r="70" spans="1:10" ht="14.45" customHeight="1" x14ac:dyDescent="0.25">
      <c r="A70" s="50"/>
      <c r="B70" s="72" t="s">
        <v>50</v>
      </c>
      <c r="C70" s="72" t="s">
        <v>50</v>
      </c>
      <c r="D70" s="72" t="s">
        <v>50</v>
      </c>
      <c r="E70" s="72" t="s">
        <v>50</v>
      </c>
      <c r="F70" s="45"/>
      <c r="G70" s="51" t="s">
        <v>25</v>
      </c>
      <c r="H70" s="69">
        <v>29422</v>
      </c>
      <c r="I70" s="52">
        <f t="shared" ref="I70:I89" si="3">H70*F70</f>
        <v>0</v>
      </c>
      <c r="J70" s="98"/>
    </row>
    <row r="71" spans="1:10" ht="14.45" customHeight="1" x14ac:dyDescent="0.25">
      <c r="A71" s="50"/>
      <c r="B71" s="72" t="s">
        <v>51</v>
      </c>
      <c r="C71" s="72" t="s">
        <v>51</v>
      </c>
      <c r="D71" s="72" t="s">
        <v>51</v>
      </c>
      <c r="E71" s="72" t="s">
        <v>51</v>
      </c>
      <c r="F71" s="45"/>
      <c r="G71" s="51" t="s">
        <v>25</v>
      </c>
      <c r="H71" s="69">
        <v>30866</v>
      </c>
      <c r="I71" s="52">
        <f t="shared" si="3"/>
        <v>0</v>
      </c>
      <c r="J71" s="98"/>
    </row>
    <row r="72" spans="1:10" ht="14.45" customHeight="1" x14ac:dyDescent="0.25">
      <c r="A72" s="50"/>
      <c r="B72" s="72" t="s">
        <v>52</v>
      </c>
      <c r="C72" s="72" t="s">
        <v>52</v>
      </c>
      <c r="D72" s="72" t="s">
        <v>52</v>
      </c>
      <c r="E72" s="72" t="s">
        <v>52</v>
      </c>
      <c r="F72" s="45"/>
      <c r="G72" s="51" t="s">
        <v>25</v>
      </c>
      <c r="H72" s="69">
        <v>34186</v>
      </c>
      <c r="I72" s="52">
        <f t="shared" si="3"/>
        <v>0</v>
      </c>
      <c r="J72" s="98"/>
    </row>
    <row r="73" spans="1:10" ht="14.45" customHeight="1" x14ac:dyDescent="0.25">
      <c r="A73" s="50"/>
      <c r="B73" s="72" t="s">
        <v>53</v>
      </c>
      <c r="C73" s="72" t="s">
        <v>53</v>
      </c>
      <c r="D73" s="72" t="s">
        <v>53</v>
      </c>
      <c r="E73" s="72" t="s">
        <v>53</v>
      </c>
      <c r="F73" s="45"/>
      <c r="G73" s="51" t="s">
        <v>25</v>
      </c>
      <c r="H73" s="69">
        <v>35214</v>
      </c>
      <c r="I73" s="52">
        <f t="shared" si="3"/>
        <v>0</v>
      </c>
      <c r="J73" s="98"/>
    </row>
    <row r="74" spans="1:10" ht="14.45" customHeight="1" x14ac:dyDescent="0.25">
      <c r="A74" s="50"/>
      <c r="B74" s="72" t="s">
        <v>72</v>
      </c>
      <c r="C74" s="72" t="s">
        <v>54</v>
      </c>
      <c r="D74" s="72" t="s">
        <v>54</v>
      </c>
      <c r="E74" s="72" t="s">
        <v>54</v>
      </c>
      <c r="F74" s="45"/>
      <c r="G74" s="51" t="s">
        <v>25</v>
      </c>
      <c r="H74" s="69">
        <v>34186</v>
      </c>
      <c r="I74" s="52">
        <f t="shared" si="3"/>
        <v>0</v>
      </c>
      <c r="J74" s="98"/>
    </row>
    <row r="75" spans="1:10" ht="14.45" customHeight="1" thickBot="1" x14ac:dyDescent="0.3">
      <c r="A75" s="50"/>
      <c r="B75" s="73" t="s">
        <v>54</v>
      </c>
      <c r="C75" s="73" t="s">
        <v>55</v>
      </c>
      <c r="D75" s="73" t="s">
        <v>55</v>
      </c>
      <c r="E75" s="73" t="s">
        <v>55</v>
      </c>
      <c r="F75" s="45"/>
      <c r="G75" s="51" t="s">
        <v>25</v>
      </c>
      <c r="H75" s="69">
        <v>27419</v>
      </c>
      <c r="I75" s="52">
        <f t="shared" si="3"/>
        <v>0</v>
      </c>
      <c r="J75" s="98"/>
    </row>
    <row r="76" spans="1:10" ht="14.45" customHeight="1" thickTop="1" x14ac:dyDescent="0.25">
      <c r="A76" s="50"/>
      <c r="B76" s="77" t="s">
        <v>56</v>
      </c>
      <c r="C76" s="77" t="s">
        <v>56</v>
      </c>
      <c r="D76" s="77" t="s">
        <v>56</v>
      </c>
      <c r="E76" s="77" t="s">
        <v>56</v>
      </c>
      <c r="F76" s="45"/>
      <c r="G76" s="51" t="s">
        <v>25</v>
      </c>
      <c r="H76" s="69">
        <v>39525</v>
      </c>
      <c r="I76" s="52">
        <f t="shared" si="3"/>
        <v>0</v>
      </c>
      <c r="J76" s="98"/>
    </row>
    <row r="77" spans="1:10" ht="14.45" customHeight="1" x14ac:dyDescent="0.25">
      <c r="A77" s="50"/>
      <c r="B77" s="75" t="s">
        <v>57</v>
      </c>
      <c r="C77" s="75" t="s">
        <v>57</v>
      </c>
      <c r="D77" s="75" t="s">
        <v>57</v>
      </c>
      <c r="E77" s="75" t="s">
        <v>57</v>
      </c>
      <c r="F77" s="45"/>
      <c r="G77" s="51" t="s">
        <v>25</v>
      </c>
      <c r="H77" s="69">
        <v>40011</v>
      </c>
      <c r="I77" s="52">
        <f t="shared" si="3"/>
        <v>0</v>
      </c>
      <c r="J77" s="98"/>
    </row>
    <row r="78" spans="1:10" ht="14.45" customHeight="1" x14ac:dyDescent="0.25">
      <c r="A78" s="50"/>
      <c r="B78" s="75" t="s">
        <v>58</v>
      </c>
      <c r="C78" s="75" t="s">
        <v>58</v>
      </c>
      <c r="D78" s="75" t="s">
        <v>58</v>
      </c>
      <c r="E78" s="75" t="s">
        <v>58</v>
      </c>
      <c r="F78" s="45"/>
      <c r="G78" s="51" t="s">
        <v>25</v>
      </c>
      <c r="H78" s="69">
        <v>41995</v>
      </c>
      <c r="I78" s="52">
        <f t="shared" si="3"/>
        <v>0</v>
      </c>
      <c r="J78" s="98"/>
    </row>
    <row r="79" spans="1:10" ht="14.45" customHeight="1" x14ac:dyDescent="0.25">
      <c r="A79" s="50"/>
      <c r="B79" s="75" t="s">
        <v>59</v>
      </c>
      <c r="C79" s="75" t="s">
        <v>59</v>
      </c>
      <c r="D79" s="75" t="s">
        <v>59</v>
      </c>
      <c r="E79" s="75" t="s">
        <v>59</v>
      </c>
      <c r="F79" s="45"/>
      <c r="G79" s="51" t="s">
        <v>25</v>
      </c>
      <c r="H79" s="69">
        <v>46504</v>
      </c>
      <c r="I79" s="52">
        <f t="shared" si="3"/>
        <v>0</v>
      </c>
      <c r="J79" s="98"/>
    </row>
    <row r="80" spans="1:10" ht="14.45" customHeight="1" x14ac:dyDescent="0.25">
      <c r="A80" s="50"/>
      <c r="B80" s="75" t="s">
        <v>60</v>
      </c>
      <c r="C80" s="75" t="s">
        <v>60</v>
      </c>
      <c r="D80" s="75" t="s">
        <v>60</v>
      </c>
      <c r="E80" s="75" t="s">
        <v>60</v>
      </c>
      <c r="F80" s="45"/>
      <c r="G80" s="51" t="s">
        <v>25</v>
      </c>
      <c r="H80" s="69">
        <v>47883</v>
      </c>
      <c r="I80" s="52">
        <f t="shared" si="3"/>
        <v>0</v>
      </c>
      <c r="J80" s="98"/>
    </row>
    <row r="81" spans="1:10" ht="14.45" customHeight="1" x14ac:dyDescent="0.25">
      <c r="A81" s="50"/>
      <c r="B81" s="75" t="s">
        <v>73</v>
      </c>
      <c r="C81" s="75" t="s">
        <v>61</v>
      </c>
      <c r="D81" s="75" t="s">
        <v>61</v>
      </c>
      <c r="E81" s="75" t="s">
        <v>61</v>
      </c>
      <c r="F81" s="45"/>
      <c r="G81" s="51" t="s">
        <v>25</v>
      </c>
      <c r="H81" s="69">
        <v>46504</v>
      </c>
      <c r="I81" s="52">
        <f t="shared" si="3"/>
        <v>0</v>
      </c>
      <c r="J81" s="98"/>
    </row>
    <row r="82" spans="1:10" ht="14.45" customHeight="1" thickBot="1" x14ac:dyDescent="0.3">
      <c r="A82" s="50"/>
      <c r="B82" s="73" t="s">
        <v>61</v>
      </c>
      <c r="C82" s="73" t="s">
        <v>62</v>
      </c>
      <c r="D82" s="73" t="s">
        <v>62</v>
      </c>
      <c r="E82" s="73" t="s">
        <v>62</v>
      </c>
      <c r="F82" s="45"/>
      <c r="G82" s="51" t="s">
        <v>25</v>
      </c>
      <c r="H82" s="69">
        <v>37290</v>
      </c>
      <c r="I82" s="52">
        <f t="shared" si="3"/>
        <v>0</v>
      </c>
      <c r="J82" s="98"/>
    </row>
    <row r="83" spans="1:10" ht="14.45" customHeight="1" thickTop="1" x14ac:dyDescent="0.25">
      <c r="A83" s="50"/>
      <c r="B83" s="76" t="s">
        <v>63</v>
      </c>
      <c r="C83" s="76" t="s">
        <v>63</v>
      </c>
      <c r="D83" s="76" t="s">
        <v>63</v>
      </c>
      <c r="E83" s="76" t="s">
        <v>63</v>
      </c>
      <c r="F83" s="45"/>
      <c r="G83" s="51" t="s">
        <v>25</v>
      </c>
      <c r="H83" s="69">
        <v>51162</v>
      </c>
      <c r="I83" s="52">
        <f t="shared" si="3"/>
        <v>0</v>
      </c>
      <c r="J83" s="98"/>
    </row>
    <row r="84" spans="1:10" ht="14.45" customHeight="1" x14ac:dyDescent="0.25">
      <c r="A84" s="50"/>
      <c r="B84" s="75" t="s">
        <v>64</v>
      </c>
      <c r="C84" s="75" t="s">
        <v>64</v>
      </c>
      <c r="D84" s="75" t="s">
        <v>64</v>
      </c>
      <c r="E84" s="75" t="s">
        <v>64</v>
      </c>
      <c r="F84" s="45"/>
      <c r="G84" s="51" t="s">
        <v>25</v>
      </c>
      <c r="H84" s="69">
        <v>51775</v>
      </c>
      <c r="I84" s="52">
        <f t="shared" si="3"/>
        <v>0</v>
      </c>
      <c r="J84" s="98"/>
    </row>
    <row r="85" spans="1:10" ht="14.45" customHeight="1" x14ac:dyDescent="0.25">
      <c r="A85" s="50"/>
      <c r="B85" s="75" t="s">
        <v>65</v>
      </c>
      <c r="C85" s="75" t="s">
        <v>65</v>
      </c>
      <c r="D85" s="75" t="s">
        <v>65</v>
      </c>
      <c r="E85" s="75" t="s">
        <v>65</v>
      </c>
      <c r="F85" s="45"/>
      <c r="G85" s="51" t="s">
        <v>25</v>
      </c>
      <c r="H85" s="69">
        <v>54349</v>
      </c>
      <c r="I85" s="52">
        <f t="shared" si="3"/>
        <v>0</v>
      </c>
      <c r="J85" s="98"/>
    </row>
    <row r="86" spans="1:10" ht="14.45" customHeight="1" x14ac:dyDescent="0.25">
      <c r="A86" s="50"/>
      <c r="B86" s="75" t="s">
        <v>66</v>
      </c>
      <c r="C86" s="75" t="s">
        <v>66</v>
      </c>
      <c r="D86" s="75" t="s">
        <v>66</v>
      </c>
      <c r="E86" s="75" t="s">
        <v>66</v>
      </c>
      <c r="F86" s="45"/>
      <c r="G86" s="51" t="s">
        <v>25</v>
      </c>
      <c r="H86" s="69">
        <v>60180</v>
      </c>
      <c r="I86" s="52">
        <f t="shared" si="3"/>
        <v>0</v>
      </c>
      <c r="J86" s="98"/>
    </row>
    <row r="87" spans="1:10" ht="14.45" customHeight="1" x14ac:dyDescent="0.25">
      <c r="A87" s="50"/>
      <c r="B87" s="75" t="s">
        <v>67</v>
      </c>
      <c r="C87" s="75" t="s">
        <v>67</v>
      </c>
      <c r="D87" s="75" t="s">
        <v>67</v>
      </c>
      <c r="E87" s="75" t="s">
        <v>67</v>
      </c>
      <c r="F87" s="45"/>
      <c r="G87" s="51" t="s">
        <v>25</v>
      </c>
      <c r="H87" s="69">
        <v>61969</v>
      </c>
      <c r="I87" s="52">
        <f t="shared" si="3"/>
        <v>0</v>
      </c>
      <c r="J87" s="98"/>
    </row>
    <row r="88" spans="1:10" ht="14.45" customHeight="1" x14ac:dyDescent="0.25">
      <c r="A88" s="50"/>
      <c r="B88" s="75" t="s">
        <v>74</v>
      </c>
      <c r="C88" s="75" t="s">
        <v>68</v>
      </c>
      <c r="D88" s="75" t="s">
        <v>68</v>
      </c>
      <c r="E88" s="75" t="s">
        <v>68</v>
      </c>
      <c r="F88" s="45"/>
      <c r="G88" s="51" t="s">
        <v>25</v>
      </c>
      <c r="H88" s="69">
        <v>60180</v>
      </c>
      <c r="I88" s="52">
        <f t="shared" si="3"/>
        <v>0</v>
      </c>
      <c r="J88" s="98"/>
    </row>
    <row r="89" spans="1:10" ht="14.45" customHeight="1" x14ac:dyDescent="0.25">
      <c r="A89" s="50"/>
      <c r="B89" s="72" t="s">
        <v>68</v>
      </c>
      <c r="C89" s="72" t="s">
        <v>69</v>
      </c>
      <c r="D89" s="72" t="s">
        <v>69</v>
      </c>
      <c r="E89" s="72" t="s">
        <v>69</v>
      </c>
      <c r="F89" s="45"/>
      <c r="G89" s="51" t="s">
        <v>25</v>
      </c>
      <c r="H89" s="69">
        <v>48806</v>
      </c>
      <c r="I89" s="52">
        <f t="shared" si="3"/>
        <v>0</v>
      </c>
      <c r="J89" s="98"/>
    </row>
    <row r="90" spans="1:10" ht="14.45" customHeight="1" thickBot="1" x14ac:dyDescent="0.3">
      <c r="A90" s="50"/>
      <c r="B90" s="64"/>
      <c r="C90" s="64"/>
      <c r="D90" s="64"/>
      <c r="E90" s="64"/>
      <c r="F90" s="45"/>
      <c r="G90" s="65"/>
      <c r="H90" s="45"/>
      <c r="I90" s="66"/>
      <c r="J90" s="98"/>
    </row>
    <row r="91" spans="1:10" ht="14.45" customHeight="1" x14ac:dyDescent="0.25">
      <c r="A91" s="49"/>
      <c r="B91" s="74" t="s">
        <v>81</v>
      </c>
      <c r="C91" s="74"/>
      <c r="D91" s="74"/>
      <c r="E91" s="74"/>
      <c r="F91" s="16"/>
      <c r="G91" s="17"/>
      <c r="H91" s="17"/>
      <c r="I91" s="18">
        <f>+SUM(I92:I98)</f>
        <v>0</v>
      </c>
      <c r="J91" s="98"/>
    </row>
    <row r="92" spans="1:10" ht="14.45" customHeight="1" x14ac:dyDescent="0.25">
      <c r="A92" s="62"/>
      <c r="B92" s="72" t="s">
        <v>75</v>
      </c>
      <c r="C92" s="72" t="s">
        <v>49</v>
      </c>
      <c r="D92" s="72" t="s">
        <v>49</v>
      </c>
      <c r="E92" s="72" t="s">
        <v>49</v>
      </c>
      <c r="F92" s="45"/>
      <c r="G92" s="51" t="s">
        <v>25</v>
      </c>
      <c r="H92" s="69">
        <v>145335</v>
      </c>
      <c r="I92" s="52">
        <f>H92*F92</f>
        <v>0</v>
      </c>
      <c r="J92" s="98"/>
    </row>
    <row r="93" spans="1:10" ht="14.45" customHeight="1" x14ac:dyDescent="0.25">
      <c r="A93" s="50"/>
      <c r="B93" s="72" t="s">
        <v>76</v>
      </c>
      <c r="C93" s="72" t="s">
        <v>50</v>
      </c>
      <c r="D93" s="72" t="s">
        <v>50</v>
      </c>
      <c r="E93" s="72" t="s">
        <v>50</v>
      </c>
      <c r="F93" s="45"/>
      <c r="G93" s="51" t="s">
        <v>25</v>
      </c>
      <c r="H93" s="69">
        <v>147114</v>
      </c>
      <c r="I93" s="52">
        <f t="shared" ref="I93:I98" si="4">H93*F93</f>
        <v>0</v>
      </c>
      <c r="J93" s="98"/>
    </row>
    <row r="94" spans="1:10" ht="14.45" customHeight="1" x14ac:dyDescent="0.25">
      <c r="A94" s="50"/>
      <c r="B94" s="72" t="s">
        <v>51</v>
      </c>
      <c r="C94" s="72" t="s">
        <v>51</v>
      </c>
      <c r="D94" s="72" t="s">
        <v>51</v>
      </c>
      <c r="E94" s="72" t="s">
        <v>51</v>
      </c>
      <c r="F94" s="45"/>
      <c r="G94" s="51" t="s">
        <v>25</v>
      </c>
      <c r="H94" s="69">
        <v>154390</v>
      </c>
      <c r="I94" s="52">
        <f t="shared" si="4"/>
        <v>0</v>
      </c>
      <c r="J94" s="98"/>
    </row>
    <row r="95" spans="1:10" ht="14.45" customHeight="1" x14ac:dyDescent="0.25">
      <c r="A95" s="50"/>
      <c r="B95" s="72" t="s">
        <v>77</v>
      </c>
      <c r="C95" s="72" t="s">
        <v>52</v>
      </c>
      <c r="D95" s="72" t="s">
        <v>52</v>
      </c>
      <c r="E95" s="72" t="s">
        <v>52</v>
      </c>
      <c r="F95" s="45"/>
      <c r="G95" s="51" t="s">
        <v>25</v>
      </c>
      <c r="H95" s="69">
        <v>170957</v>
      </c>
      <c r="I95" s="52">
        <f t="shared" si="4"/>
        <v>0</v>
      </c>
      <c r="J95" s="98"/>
    </row>
    <row r="96" spans="1:10" ht="14.45" customHeight="1" x14ac:dyDescent="0.25">
      <c r="A96" s="50"/>
      <c r="B96" s="72" t="s">
        <v>78</v>
      </c>
      <c r="C96" s="72" t="s">
        <v>53</v>
      </c>
      <c r="D96" s="72" t="s">
        <v>53</v>
      </c>
      <c r="E96" s="72" t="s">
        <v>53</v>
      </c>
      <c r="F96" s="45"/>
      <c r="G96" s="51" t="s">
        <v>25</v>
      </c>
      <c r="H96" s="69">
        <v>176052</v>
      </c>
      <c r="I96" s="52">
        <f t="shared" si="4"/>
        <v>0</v>
      </c>
      <c r="J96" s="98"/>
    </row>
    <row r="97" spans="1:10" ht="14.45" customHeight="1" x14ac:dyDescent="0.25">
      <c r="A97" s="50"/>
      <c r="B97" s="72" t="s">
        <v>79</v>
      </c>
      <c r="C97" s="72" t="s">
        <v>54</v>
      </c>
      <c r="D97" s="72" t="s">
        <v>54</v>
      </c>
      <c r="E97" s="72" t="s">
        <v>54</v>
      </c>
      <c r="F97" s="45"/>
      <c r="G97" s="51" t="s">
        <v>25</v>
      </c>
      <c r="H97" s="69">
        <v>170957</v>
      </c>
      <c r="I97" s="52">
        <f t="shared" si="4"/>
        <v>0</v>
      </c>
      <c r="J97" s="98"/>
    </row>
    <row r="98" spans="1:10" ht="14.45" customHeight="1" thickBot="1" x14ac:dyDescent="0.3">
      <c r="A98" s="50"/>
      <c r="B98" s="73" t="s">
        <v>80</v>
      </c>
      <c r="C98" s="73" t="s">
        <v>55</v>
      </c>
      <c r="D98" s="73" t="s">
        <v>55</v>
      </c>
      <c r="E98" s="73" t="s">
        <v>55</v>
      </c>
      <c r="F98" s="45"/>
      <c r="G98" s="51" t="s">
        <v>25</v>
      </c>
      <c r="H98" s="69">
        <v>165659</v>
      </c>
      <c r="I98" s="52">
        <f t="shared" si="4"/>
        <v>0</v>
      </c>
      <c r="J98" s="98"/>
    </row>
    <row r="99" spans="1:10" ht="14.45" customHeight="1" thickTop="1" thickBot="1" x14ac:dyDescent="0.3">
      <c r="A99" s="50"/>
      <c r="B99" s="115"/>
      <c r="C99" s="115"/>
      <c r="D99" s="115"/>
      <c r="E99" s="115"/>
      <c r="F99" s="53"/>
      <c r="G99" s="54"/>
      <c r="H99" s="53"/>
      <c r="I99" s="55" t="str">
        <f t="shared" si="0"/>
        <v/>
      </c>
      <c r="J99" s="99"/>
    </row>
    <row r="100" spans="1:10" ht="18.600000000000001" customHeight="1" x14ac:dyDescent="0.25">
      <c r="A100" s="12"/>
      <c r="B100" s="13" t="s">
        <v>26</v>
      </c>
      <c r="C100" s="13"/>
      <c r="D100" s="13"/>
      <c r="E100" s="13"/>
      <c r="F100" s="14"/>
      <c r="G100" s="15"/>
      <c r="H100" s="70"/>
      <c r="I100" s="56">
        <f>I68+I45+I37+I24+I91</f>
        <v>1655371</v>
      </c>
    </row>
    <row r="101" spans="1:10" ht="14.45" customHeight="1" x14ac:dyDescent="0.25"/>
    <row r="102" spans="1:10" ht="14.45" customHeight="1" x14ac:dyDescent="0.25"/>
    <row r="103" spans="1:10" ht="21" x14ac:dyDescent="0.25">
      <c r="A103" s="57">
        <v>4</v>
      </c>
      <c r="B103" s="58" t="s">
        <v>82</v>
      </c>
      <c r="C103" s="57"/>
      <c r="D103" s="57"/>
      <c r="E103" s="57"/>
      <c r="F103" s="57"/>
      <c r="G103" s="57"/>
      <c r="H103" s="57"/>
      <c r="I103" s="57"/>
    </row>
    <row r="104" spans="1:10" x14ac:dyDescent="0.25">
      <c r="A104" s="59" t="s">
        <v>21</v>
      </c>
      <c r="B104" s="110" t="s">
        <v>48</v>
      </c>
      <c r="C104" s="111"/>
      <c r="D104" s="8"/>
      <c r="E104" s="8"/>
      <c r="F104" s="8"/>
      <c r="G104" s="8"/>
      <c r="H104" s="71"/>
      <c r="I104" s="8"/>
    </row>
    <row r="105" spans="1:10" x14ac:dyDescent="0.25">
      <c r="A105" s="59" t="s">
        <v>22</v>
      </c>
      <c r="B105" s="112" t="s">
        <v>35</v>
      </c>
      <c r="C105" s="113"/>
      <c r="D105" s="113"/>
      <c r="E105" s="113"/>
      <c r="F105" s="113"/>
      <c r="G105" s="113"/>
      <c r="H105" s="113"/>
      <c r="I105" s="114"/>
    </row>
    <row r="106" spans="1:10" x14ac:dyDescent="0.25">
      <c r="A106" s="60" t="s">
        <v>27</v>
      </c>
      <c r="B106" s="63" t="s">
        <v>86</v>
      </c>
      <c r="C106" s="63"/>
      <c r="D106" s="63"/>
      <c r="E106" s="63"/>
      <c r="F106" s="63"/>
      <c r="G106" s="63"/>
      <c r="H106" s="57"/>
      <c r="I106" s="57"/>
    </row>
    <row r="107" spans="1:10" x14ac:dyDescent="0.25">
      <c r="A107" s="8"/>
      <c r="B107" s="8"/>
      <c r="C107" s="8"/>
      <c r="D107" s="8"/>
      <c r="E107" s="8"/>
      <c r="F107" s="8"/>
      <c r="G107" s="8"/>
      <c r="H107" s="71"/>
      <c r="I107" s="8"/>
    </row>
    <row r="108" spans="1:10" x14ac:dyDescent="0.25">
      <c r="A108" s="8"/>
      <c r="B108" s="8"/>
      <c r="C108" s="8"/>
      <c r="D108" s="8"/>
      <c r="E108" s="8"/>
      <c r="F108" s="8"/>
      <c r="G108" s="8"/>
      <c r="H108" s="71"/>
      <c r="I108" s="8"/>
    </row>
    <row r="109" spans="1:10" ht="15.75" x14ac:dyDescent="0.25">
      <c r="A109" s="7"/>
      <c r="B109" s="6"/>
      <c r="C109" s="6"/>
      <c r="D109" s="9"/>
      <c r="E109" s="6"/>
      <c r="F109" s="6"/>
      <c r="G109" s="6"/>
      <c r="H109" s="71"/>
      <c r="I109" s="8"/>
    </row>
    <row r="110" spans="1:10" ht="15.75" x14ac:dyDescent="0.25">
      <c r="A110" s="6"/>
      <c r="B110" s="8"/>
      <c r="C110" s="10"/>
      <c r="D110" s="9"/>
      <c r="E110" s="9"/>
      <c r="F110" s="6"/>
      <c r="G110" s="6"/>
      <c r="H110" s="71"/>
      <c r="I110" s="8"/>
    </row>
    <row r="111" spans="1:10" ht="15.75" x14ac:dyDescent="0.25">
      <c r="A111" s="7"/>
      <c r="B111" s="8"/>
      <c r="C111" s="10"/>
      <c r="D111" s="11"/>
      <c r="E111" s="6"/>
      <c r="F111" s="6"/>
      <c r="G111" s="6"/>
      <c r="H111" s="71"/>
      <c r="I111" s="8"/>
    </row>
    <row r="112" spans="1:10" x14ac:dyDescent="0.25">
      <c r="A112" s="8"/>
      <c r="B112" s="8"/>
      <c r="C112" s="8"/>
      <c r="D112" s="8"/>
      <c r="E112" s="8"/>
      <c r="F112" s="8"/>
      <c r="G112" s="8"/>
      <c r="H112" s="71"/>
      <c r="I112" s="8"/>
    </row>
  </sheetData>
  <mergeCells count="98">
    <mergeCell ref="B104:C104"/>
    <mergeCell ref="B105:I105"/>
    <mergeCell ref="B38:E38"/>
    <mergeCell ref="B99:E99"/>
    <mergeCell ref="B44:E44"/>
    <mergeCell ref="B39:E39"/>
    <mergeCell ref="B40:E40"/>
    <mergeCell ref="B43:E43"/>
    <mergeCell ref="B41:E41"/>
    <mergeCell ref="B42:E42"/>
    <mergeCell ref="B45:E45"/>
    <mergeCell ref="B46:E46"/>
    <mergeCell ref="B47:E47"/>
    <mergeCell ref="B48:E48"/>
    <mergeCell ref="B49:E49"/>
    <mergeCell ref="B52:E52"/>
    <mergeCell ref="B24:E24"/>
    <mergeCell ref="B25:E25"/>
    <mergeCell ref="B37:E37"/>
    <mergeCell ref="B30:E30"/>
    <mergeCell ref="B31:E31"/>
    <mergeCell ref="B32:E32"/>
    <mergeCell ref="B33:E33"/>
    <mergeCell ref="B34:E34"/>
    <mergeCell ref="B35:E35"/>
    <mergeCell ref="B36:E36"/>
    <mergeCell ref="B28:E28"/>
    <mergeCell ref="B29:E29"/>
    <mergeCell ref="D6:I6"/>
    <mergeCell ref="D7:I7"/>
    <mergeCell ref="D8:I8"/>
    <mergeCell ref="A23:E23"/>
    <mergeCell ref="B20:I20"/>
    <mergeCell ref="B14:I14"/>
    <mergeCell ref="D15:I16"/>
    <mergeCell ref="D18:I18"/>
    <mergeCell ref="D17:I17"/>
    <mergeCell ref="B17:C17"/>
    <mergeCell ref="B15:C16"/>
    <mergeCell ref="B18:C18"/>
    <mergeCell ref="J37:J44"/>
    <mergeCell ref="J45:J99"/>
    <mergeCell ref="B50:E50"/>
    <mergeCell ref="B57:E57"/>
    <mergeCell ref="B64:E64"/>
    <mergeCell ref="B62:E62"/>
    <mergeCell ref="B63:E63"/>
    <mergeCell ref="B65:E65"/>
    <mergeCell ref="B66:E66"/>
    <mergeCell ref="B56:E56"/>
    <mergeCell ref="B58:E58"/>
    <mergeCell ref="B59:E59"/>
    <mergeCell ref="B60:E60"/>
    <mergeCell ref="B61:E61"/>
    <mergeCell ref="B51:E51"/>
    <mergeCell ref="B53:E53"/>
    <mergeCell ref="B68:E68"/>
    <mergeCell ref="B69:E69"/>
    <mergeCell ref="B70:E70"/>
    <mergeCell ref="B71:E71"/>
    <mergeCell ref="A1:C1"/>
    <mergeCell ref="B54:E54"/>
    <mergeCell ref="B55:E55"/>
    <mergeCell ref="E2:H2"/>
    <mergeCell ref="B4:I4"/>
    <mergeCell ref="D12:I12"/>
    <mergeCell ref="B26:E26"/>
    <mergeCell ref="B27:E27"/>
    <mergeCell ref="D10:I10"/>
    <mergeCell ref="D11:I11"/>
    <mergeCell ref="D9:I9"/>
    <mergeCell ref="D5:I5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7:E87"/>
    <mergeCell ref="B88:E88"/>
    <mergeCell ref="B89:E89"/>
    <mergeCell ref="B82:E82"/>
    <mergeCell ref="B83:E83"/>
    <mergeCell ref="B84:E84"/>
    <mergeCell ref="B85:E85"/>
    <mergeCell ref="B86:E86"/>
    <mergeCell ref="B97:E97"/>
    <mergeCell ref="B98:E98"/>
    <mergeCell ref="B91:E91"/>
    <mergeCell ref="B92:E92"/>
    <mergeCell ref="B93:E93"/>
    <mergeCell ref="B94:E94"/>
    <mergeCell ref="B95:E95"/>
    <mergeCell ref="B96:E96"/>
  </mergeCells>
  <phoneticPr fontId="7" type="noConversion"/>
  <conditionalFormatting sqref="B105:B106">
    <cfRule type="cellIs" dxfId="9" priority="58" operator="equal">
      <formula>0</formula>
    </cfRule>
  </conditionalFormatting>
  <conditionalFormatting sqref="D5:D12">
    <cfRule type="cellIs" dxfId="8" priority="60" operator="equal">
      <formula>0</formula>
    </cfRule>
  </conditionalFormatting>
  <conditionalFormatting sqref="D15">
    <cfRule type="cellIs" dxfId="7" priority="13" operator="equal">
      <formula>0</formula>
    </cfRule>
  </conditionalFormatting>
  <conditionalFormatting sqref="D17:D18">
    <cfRule type="cellIs" dxfId="6" priority="11" operator="equal">
      <formula>0</formula>
    </cfRule>
  </conditionalFormatting>
  <conditionalFormatting sqref="F25:F36">
    <cfRule type="containsBlanks" dxfId="5" priority="39">
      <formula>LEN(TRIM(F25))=0</formula>
    </cfRule>
  </conditionalFormatting>
  <conditionalFormatting sqref="F38:F44 H99">
    <cfRule type="containsBlanks" dxfId="4" priority="51">
      <formula>LEN(TRIM(F38))=0</formula>
    </cfRule>
  </conditionalFormatting>
  <conditionalFormatting sqref="F46:F67">
    <cfRule type="containsBlanks" dxfId="3" priority="14">
      <formula>LEN(TRIM(F46))=0</formula>
    </cfRule>
  </conditionalFormatting>
  <conditionalFormatting sqref="F69:F90">
    <cfRule type="containsBlanks" dxfId="2" priority="3">
      <formula>LEN(TRIM(F69))=0</formula>
    </cfRule>
  </conditionalFormatting>
  <conditionalFormatting sqref="F92:F99">
    <cfRule type="containsBlanks" dxfId="1" priority="1">
      <formula>LEN(TRIM(F92))=0</formula>
    </cfRule>
  </conditionalFormatting>
  <conditionalFormatting sqref="H44">
    <cfRule type="containsBlanks" dxfId="0" priority="8">
      <formula>LEN(TRIM(H44))=0</formula>
    </cfRule>
  </conditionalFormatting>
  <pageMargins left="0.25" right="0.25" top="0.75" bottom="0.75" header="0.3" footer="0.3"/>
  <pageSetup orientation="portrait" r:id="rId1"/>
  <ignoredErrors>
    <ignoredError sqref="I9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Trabajo Principal</vt:lpstr>
      <vt:lpstr>'Trabajo Principal'!Área_de_impresión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2026-08-26T13:46:49Z</dcterms:modified>
</cp:coreProperties>
</file>