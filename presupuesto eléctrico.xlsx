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Emiliano\Downloads\"/>
    </mc:Choice>
  </mc:AlternateContent>
  <xr:revisionPtr revIDLastSave="0" documentId="8_{E0406F0D-9336-468C-9F52-E005B8C100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7" i="1" l="1"/>
  <c r="I106" i="1"/>
  <c r="I105" i="1"/>
  <c r="I104" i="1"/>
  <c r="I103" i="1"/>
  <c r="I101" i="1"/>
  <c r="I100" i="1"/>
  <c r="I99" i="1"/>
  <c r="I98" i="1"/>
  <c r="I97" i="1"/>
  <c r="I96" i="1"/>
  <c r="I94" i="1"/>
  <c r="I91" i="1"/>
  <c r="I90" i="1"/>
  <c r="I89" i="1"/>
  <c r="I88" i="1"/>
  <c r="I87" i="1"/>
  <c r="I82" i="1"/>
  <c r="I81" i="1"/>
  <c r="I80" i="1"/>
  <c r="I79" i="1"/>
  <c r="I75" i="1"/>
  <c r="I74" i="1"/>
  <c r="I73" i="1"/>
  <c r="I72" i="1"/>
  <c r="I71" i="1"/>
  <c r="I69" i="1"/>
  <c r="I68" i="1"/>
  <c r="I67" i="1"/>
  <c r="I66" i="1"/>
  <c r="I65" i="1"/>
  <c r="I64" i="1"/>
  <c r="I62" i="1"/>
  <c r="I59" i="1"/>
  <c r="I58" i="1"/>
  <c r="I57" i="1"/>
  <c r="I56" i="1"/>
  <c r="I55" i="1"/>
  <c r="I50" i="1"/>
  <c r="I40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63" i="1" l="1"/>
  <c r="I78" i="1"/>
  <c r="I54" i="1"/>
  <c r="I102" i="1"/>
  <c r="I70" i="1"/>
  <c r="I52" i="1"/>
  <c r="I22" i="1"/>
  <c r="I110" i="1" l="1"/>
</calcChain>
</file>

<file path=xl/sharedStrings.xml><?xml version="1.0" encoding="utf-8"?>
<sst xmlns="http://schemas.openxmlformats.org/spreadsheetml/2006/main" count="171" uniqueCount="86">
  <si>
    <t>TARIFARIO DE COTIZACION</t>
  </si>
  <si>
    <t>COMPLETAR CAMPOS</t>
  </si>
  <si>
    <t>FECHA LÍMITE PARA ENVÍO DE OFERTAS:</t>
  </si>
  <si>
    <t>Identificación de la Oferta:</t>
  </si>
  <si>
    <t>Denominación del Servicio: según PD</t>
  </si>
  <si>
    <t xml:space="preserve">ii. </t>
  </si>
  <si>
    <t>Nombre del Proveedor:</t>
  </si>
  <si>
    <t>SG Montajes S.R.L</t>
  </si>
  <si>
    <t xml:space="preserve">iii. </t>
  </si>
  <si>
    <t xml:space="preserve">Fecha de Oferta: </t>
  </si>
  <si>
    <t xml:space="preserve">iv. </t>
  </si>
  <si>
    <t>Validez de la Oferta:</t>
  </si>
  <si>
    <t>5 dias</t>
  </si>
  <si>
    <t xml:space="preserve">v. </t>
  </si>
  <si>
    <t>Planta de Cargill</t>
  </si>
  <si>
    <t>Complejo APS- PGSM</t>
  </si>
  <si>
    <t xml:space="preserve">vi. </t>
  </si>
  <si>
    <t>Fecha de Inicio:</t>
  </si>
  <si>
    <t xml:space="preserve">vii. </t>
  </si>
  <si>
    <t xml:space="preserve">Numeros de OT: </t>
  </si>
  <si>
    <t xml:space="preserve">viii. </t>
  </si>
  <si>
    <t>Plazo Máximo de Finalización:</t>
  </si>
  <si>
    <t>Tarifario</t>
  </si>
  <si>
    <t>#</t>
  </si>
  <si>
    <t>Cantidades  Estimadas</t>
  </si>
  <si>
    <t>U.D.M.</t>
  </si>
  <si>
    <t>Precio unitario</t>
  </si>
  <si>
    <t>Precio Total</t>
  </si>
  <si>
    <t>U$D</t>
  </si>
  <si>
    <t>mts</t>
  </si>
  <si>
    <t>c/u</t>
  </si>
  <si>
    <t>BROCA 10 MM</t>
  </si>
  <si>
    <t>Sub Total</t>
  </si>
  <si>
    <t xml:space="preserve">ACUERDO POR HS DE MANTENIMIENTO </t>
  </si>
  <si>
    <t xml:space="preserve">Mano de obra por Hs al 76% </t>
  </si>
  <si>
    <t>Tecnico en seguridad</t>
  </si>
  <si>
    <t>horas</t>
  </si>
  <si>
    <t>Oficial Esp</t>
  </si>
  <si>
    <t>Ayudante</t>
  </si>
  <si>
    <t xml:space="preserve">Supervisor </t>
  </si>
  <si>
    <t xml:space="preserve">Hidro elevador </t>
  </si>
  <si>
    <t>Mano de Obra por Hs al 36%</t>
  </si>
  <si>
    <t xml:space="preserve"> x</t>
  </si>
  <si>
    <t xml:space="preserve">Mano de Obra por hs Normales </t>
  </si>
  <si>
    <t>Técnico en Seguridad</t>
  </si>
  <si>
    <t xml:space="preserve">Camion Hidro elevador </t>
  </si>
  <si>
    <t>MANO DE OBRA POR EMERGENCIA EN PLANTA SEGUN ACUERDO FIRMADO CON CARGILL</t>
  </si>
  <si>
    <t xml:space="preserve">ACUERDO POR HS EN PARADA DE PLANTA </t>
  </si>
  <si>
    <t>Mano de obra por Hs al 76% en parada de planta</t>
  </si>
  <si>
    <t>Mano de Obra por Hs al 36% en parada de planta</t>
  </si>
  <si>
    <t xml:space="preserve">Mano de Obra por hs Normales en parada de planta </t>
  </si>
  <si>
    <t>TOTAL OFERTA SOBRE LA MANO DE OBRA</t>
  </si>
  <si>
    <t>$</t>
  </si>
  <si>
    <t xml:space="preserve">TOTAL OFERTA SOBRE LOS MATERIALES </t>
  </si>
  <si>
    <t xml:space="preserve">TOTAL OFERTA SOBRE LOS ANDAMIOS </t>
  </si>
  <si>
    <t>Aclaraciones:</t>
  </si>
  <si>
    <t>ii.</t>
  </si>
  <si>
    <t>iii.</t>
  </si>
  <si>
    <t>NUEVA POSICION LECTORAS Y BARREAS VOL 5 / 6</t>
  </si>
  <si>
    <t>CAJA ALUMINIO 200X200X100</t>
  </si>
  <si>
    <t>CAJA ALUMINIO 300X300X100</t>
  </si>
  <si>
    <t>CONDULET ( L ) 1" 1/2</t>
  </si>
  <si>
    <t>CONDULET DE PASO 1"1/2</t>
  </si>
  <si>
    <t>UNION DOBLE 1" 1/2</t>
  </si>
  <si>
    <t>CUPLAS 1" 1/2</t>
  </si>
  <si>
    <t>GRAMPAS U-BOLT 1" 1/2</t>
  </si>
  <si>
    <t>FLEXIBLE ZOLODA 1" 1/2</t>
  </si>
  <si>
    <t>CONECTOR ZOLODA CON TUERCA 1" 1/2</t>
  </si>
  <si>
    <t>CAÑO ACERO GALVANIZADO SEMIPESADO 1" 1/2</t>
  </si>
  <si>
    <t>CINTA PROTECCION SE CAÑOS POLIGUARD</t>
  </si>
  <si>
    <t>BARRA UPN 80 MM X 6 MTS</t>
  </si>
  <si>
    <t>BARRA ANGULO 1" 1/2 X 3,16 X 6 MTS</t>
  </si>
  <si>
    <t>LLAVE SELECTORA 0.1.2</t>
  </si>
  <si>
    <t>CABLE 485</t>
  </si>
  <si>
    <t>CABLE SINTENAX 7X1,5 MM</t>
  </si>
  <si>
    <t xml:space="preserve">CABLE SINTENAX 3X1,5 MM </t>
  </si>
  <si>
    <t xml:space="preserve">CABLE SINTENAX 3X2,5 MM </t>
  </si>
  <si>
    <t>BULON 1/4X1"1/2CON DOBLE ARANDELA PLANA + TUERCA</t>
  </si>
  <si>
    <t xml:space="preserve">BULON 5/16X 1"1/2 CON DOBLE ARANDELA PLANA Y TUERCA </t>
  </si>
  <si>
    <t>PINTURA AMARILLA</t>
  </si>
  <si>
    <t>LTS</t>
  </si>
  <si>
    <t>PINTURA NEGRO</t>
  </si>
  <si>
    <t>CINTA REFLECTIVA ROJO/NEGRO ADHESIVA</t>
  </si>
  <si>
    <t>TUERCA 1" 1/2 PARA CAÑOS</t>
  </si>
  <si>
    <t xml:space="preserve">BOQUILLA 1" 1/2 ALUMINIO </t>
  </si>
  <si>
    <t xml:space="preserve">RIEL DIN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</si>
</sst>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C0A]d&quot; de &quot;mmmm&quot; de &quot;yyyy;@"/>
    <numFmt numFmtId="165" formatCode="_-&quot;$&quot;* #,##0.00_-;\-&quot;$&quot;* #,##0.00_-;_-&quot;$&quot;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u/>
      <sz val="11"/>
      <name val="Calibri"/>
      <family val="2"/>
      <scheme val="minor"/>
    </font>
    <font>
      <i/>
      <u/>
      <sz val="1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rgb="FF00B050"/>
      </top>
      <bottom style="medium">
        <color rgb="FF00B05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rgb="FF00B05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B050"/>
      </left>
      <right/>
      <top/>
      <bottom/>
      <diagonal/>
    </border>
    <border>
      <left style="thin">
        <color rgb="FF00B050"/>
      </left>
      <right/>
      <top style="thin">
        <color theme="0" tint="-0.499984740745262"/>
      </top>
      <bottom style="thick">
        <color rgb="FF00B050"/>
      </bottom>
      <diagonal/>
    </border>
    <border>
      <left/>
      <right/>
      <top style="thin">
        <color theme="0" tint="-0.499984740745262"/>
      </top>
      <bottom style="thick">
        <color rgb="FF00B050"/>
      </bottom>
      <diagonal/>
    </border>
    <border>
      <left/>
      <right style="thin">
        <color rgb="FF00B050"/>
      </right>
      <top style="thin">
        <color theme="0" tint="-0.499984740745262"/>
      </top>
      <bottom style="thick">
        <color rgb="FF00B050"/>
      </bottom>
      <diagonal/>
    </border>
    <border>
      <left/>
      <right/>
      <top style="thick">
        <color rgb="FF00B050"/>
      </top>
      <bottom style="thin">
        <color rgb="FF00B050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rgb="FF00B050"/>
      </right>
      <top style="thin">
        <color theme="0" tint="-0.499984740745262"/>
      </top>
      <bottom/>
      <diagonal/>
    </border>
    <border>
      <left style="thin">
        <color rgb="FF00B050"/>
      </left>
      <right/>
      <top style="thin">
        <color theme="0" tint="-0.499984740745262"/>
      </top>
      <bottom/>
      <diagonal/>
    </border>
    <border>
      <left style="thin">
        <color rgb="FF00B050"/>
      </left>
      <right/>
      <top style="thin">
        <color theme="0" tint="-0.499984740745262"/>
      </top>
      <bottom style="medium">
        <color theme="9"/>
      </bottom>
      <diagonal/>
    </border>
    <border>
      <left/>
      <right/>
      <top style="thin">
        <color theme="0" tint="-0.499984740745262"/>
      </top>
      <bottom style="medium">
        <color theme="9"/>
      </bottom>
      <diagonal/>
    </border>
    <border>
      <left/>
      <right style="thin">
        <color rgb="FF00B050"/>
      </right>
      <top style="thin">
        <color theme="0" tint="-0.499984740745262"/>
      </top>
      <bottom style="medium">
        <color theme="9"/>
      </bottom>
      <diagonal/>
    </border>
    <border>
      <left style="thin">
        <color rgb="FF00B050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rgb="FF00B050"/>
      </right>
      <top/>
      <bottom style="thin">
        <color theme="0" tint="-0.499984740745262"/>
      </bottom>
      <diagonal/>
    </border>
    <border>
      <left style="thin">
        <color rgb="FF00B050"/>
      </left>
      <right/>
      <top style="thin">
        <color theme="9"/>
      </top>
      <bottom style="medium">
        <color theme="9"/>
      </bottom>
      <diagonal/>
    </border>
    <border>
      <left/>
      <right/>
      <top style="thin">
        <color theme="9"/>
      </top>
      <bottom style="medium">
        <color theme="9"/>
      </bottom>
      <diagonal/>
    </border>
    <border>
      <left/>
      <right style="thin">
        <color rgb="FF00B050"/>
      </right>
      <top style="thin">
        <color theme="9"/>
      </top>
      <bottom style="medium">
        <color theme="9"/>
      </bottom>
      <diagonal/>
    </border>
    <border>
      <left style="thin">
        <color rgb="FF00B050"/>
      </left>
      <right/>
      <top style="thin">
        <color theme="0" tint="-0.499984740745262"/>
      </top>
      <bottom style="thin">
        <color rgb="FF00B050"/>
      </bottom>
      <diagonal/>
    </border>
    <border>
      <left/>
      <right/>
      <top style="thin">
        <color theme="0" tint="-0.499984740745262"/>
      </top>
      <bottom style="thin">
        <color rgb="FF00B05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37">
    <xf numFmtId="0" fontId="0" fillId="0" borderId="0" xfId="0"/>
    <xf numFmtId="14" fontId="1" fillId="0" borderId="0" xfId="0" applyNumberFormat="1" applyFont="1"/>
    <xf numFmtId="0" fontId="3" fillId="2" borderId="0" xfId="0" applyFont="1" applyFill="1" applyAlignment="1">
      <alignment horizontal="left" vertical="center"/>
    </xf>
    <xf numFmtId="0" fontId="4" fillId="2" borderId="2" xfId="0" applyFont="1" applyFill="1" applyBorder="1" applyAlignment="1" applyProtection="1">
      <alignment vertical="center"/>
      <protection locked="0"/>
    </xf>
    <xf numFmtId="0" fontId="4" fillId="2" borderId="3" xfId="0" applyFont="1" applyFill="1" applyBorder="1" applyAlignment="1" applyProtection="1">
      <alignment vertical="center"/>
      <protection locked="0"/>
    </xf>
    <xf numFmtId="0" fontId="4" fillId="2" borderId="4" xfId="0" applyFont="1" applyFill="1" applyBorder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14" fontId="7" fillId="3" borderId="5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8" fillId="2" borderId="6" xfId="0" applyFont="1" applyFill="1" applyBorder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" fontId="1" fillId="2" borderId="14" xfId="0" applyNumberFormat="1" applyFont="1" applyFill="1" applyBorder="1" applyAlignment="1">
      <alignment horizontal="center" vertical="center"/>
    </xf>
    <xf numFmtId="2" fontId="1" fillId="2" borderId="15" xfId="0" applyNumberFormat="1" applyFont="1" applyFill="1" applyBorder="1" applyAlignment="1">
      <alignment horizontal="right" vertical="center"/>
    </xf>
    <xf numFmtId="0" fontId="15" fillId="2" borderId="16" xfId="0" applyFont="1" applyFill="1" applyBorder="1" applyAlignment="1">
      <alignment horizontal="center" vertical="center"/>
    </xf>
    <xf numFmtId="1" fontId="15" fillId="2" borderId="0" xfId="0" applyNumberFormat="1" applyFont="1" applyFill="1" applyAlignment="1" applyProtection="1">
      <alignment vertical="center"/>
      <protection locked="0"/>
    </xf>
    <xf numFmtId="1" fontId="15" fillId="2" borderId="0" xfId="0" applyNumberFormat="1" applyFont="1" applyFill="1" applyAlignment="1">
      <alignment horizontal="center" vertical="center"/>
    </xf>
    <xf numFmtId="2" fontId="15" fillId="2" borderId="15" xfId="0" applyNumberFormat="1" applyFont="1" applyFill="1" applyBorder="1" applyAlignment="1">
      <alignment horizontal="right" vertical="center"/>
    </xf>
    <xf numFmtId="0" fontId="0" fillId="2" borderId="14" xfId="0" applyFill="1" applyBorder="1" applyAlignment="1">
      <alignment horizontal="right" vertical="center"/>
    </xf>
    <xf numFmtId="1" fontId="0" fillId="2" borderId="14" xfId="0" applyNumberFormat="1" applyFill="1" applyBorder="1" applyAlignment="1">
      <alignment horizontal="right" vertical="center"/>
    </xf>
    <xf numFmtId="1" fontId="0" fillId="2" borderId="14" xfId="0" applyNumberFormat="1" applyFill="1" applyBorder="1" applyAlignment="1">
      <alignment horizontal="center" vertical="center"/>
    </xf>
    <xf numFmtId="2" fontId="0" fillId="2" borderId="15" xfId="0" applyNumberFormat="1" applyFill="1" applyBorder="1" applyAlignment="1">
      <alignment horizontal="right" vertical="center"/>
    </xf>
    <xf numFmtId="1" fontId="15" fillId="2" borderId="14" xfId="0" applyNumberFormat="1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" fillId="5" borderId="18" xfId="0" applyFont="1" applyFill="1" applyBorder="1" applyAlignment="1">
      <alignment horizontal="left" vertical="center"/>
    </xf>
    <xf numFmtId="0" fontId="1" fillId="5" borderId="18" xfId="0" applyFont="1" applyFill="1" applyBorder="1" applyAlignment="1">
      <alignment horizontal="center" vertical="center"/>
    </xf>
    <xf numFmtId="1" fontId="1" fillId="5" borderId="18" xfId="0" applyNumberFormat="1" applyFont="1" applyFill="1" applyBorder="1" applyAlignment="1">
      <alignment horizontal="center" vertical="center"/>
    </xf>
    <xf numFmtId="1" fontId="1" fillId="5" borderId="18" xfId="0" applyNumberFormat="1" applyFont="1" applyFill="1" applyBorder="1" applyAlignment="1">
      <alignment vertical="center"/>
    </xf>
    <xf numFmtId="2" fontId="1" fillId="5" borderId="19" xfId="0" applyNumberFormat="1" applyFont="1" applyFill="1" applyBorder="1" applyAlignment="1">
      <alignment horizontal="right" vertical="center"/>
    </xf>
    <xf numFmtId="0" fontId="15" fillId="4" borderId="16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15" fillId="2" borderId="11" xfId="0" applyFont="1" applyFill="1" applyBorder="1" applyAlignment="1">
      <alignment horizontal="left" vertical="center" wrapText="1"/>
    </xf>
    <xf numFmtId="1" fontId="15" fillId="2" borderId="21" xfId="0" applyNumberFormat="1" applyFont="1" applyFill="1" applyBorder="1" applyAlignment="1">
      <alignment horizontal="center" vertical="center"/>
    </xf>
    <xf numFmtId="2" fontId="15" fillId="2" borderId="22" xfId="0" applyNumberFormat="1" applyFont="1" applyFill="1" applyBorder="1" applyAlignment="1">
      <alignment horizontal="right" vertical="center"/>
    </xf>
    <xf numFmtId="0" fontId="0" fillId="5" borderId="23" xfId="0" applyFill="1" applyBorder="1" applyAlignment="1">
      <alignment horizontal="center" vertical="center"/>
    </xf>
    <xf numFmtId="0" fontId="1" fillId="5" borderId="21" xfId="0" applyFont="1" applyFill="1" applyBorder="1" applyAlignment="1">
      <alignment horizontal="left" vertical="center"/>
    </xf>
    <xf numFmtId="0" fontId="1" fillId="5" borderId="21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vertical="center"/>
    </xf>
    <xf numFmtId="2" fontId="1" fillId="5" borderId="22" xfId="0" applyNumberFormat="1" applyFont="1" applyFill="1" applyBorder="1" applyAlignment="1">
      <alignment horizontal="right" vertical="center"/>
    </xf>
    <xf numFmtId="0" fontId="0" fillId="5" borderId="24" xfId="0" applyFill="1" applyBorder="1" applyAlignment="1">
      <alignment horizontal="center" vertical="center"/>
    </xf>
    <xf numFmtId="0" fontId="1" fillId="5" borderId="25" xfId="0" applyFont="1" applyFill="1" applyBorder="1" applyAlignment="1">
      <alignment horizontal="left" vertical="center"/>
    </xf>
    <xf numFmtId="0" fontId="1" fillId="5" borderId="25" xfId="0" applyFont="1" applyFill="1" applyBorder="1" applyAlignment="1">
      <alignment horizontal="center" vertical="center"/>
    </xf>
    <xf numFmtId="1" fontId="1" fillId="5" borderId="25" xfId="0" applyNumberFormat="1" applyFont="1" applyFill="1" applyBorder="1" applyAlignment="1">
      <alignment horizontal="center" vertical="center"/>
    </xf>
    <xf numFmtId="1" fontId="1" fillId="5" borderId="25" xfId="0" applyNumberFormat="1" applyFont="1" applyFill="1" applyBorder="1" applyAlignment="1">
      <alignment vertical="center"/>
    </xf>
    <xf numFmtId="2" fontId="1" fillId="5" borderId="26" xfId="0" applyNumberFormat="1" applyFont="1" applyFill="1" applyBorder="1" applyAlignment="1">
      <alignment horizontal="right" vertical="center"/>
    </xf>
    <xf numFmtId="0" fontId="0" fillId="2" borderId="27" xfId="0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2" fontId="1" fillId="2" borderId="29" xfId="0" applyNumberFormat="1" applyFont="1" applyFill="1" applyBorder="1" applyAlignment="1">
      <alignment horizontal="right" vertical="center"/>
    </xf>
    <xf numFmtId="0" fontId="0" fillId="2" borderId="16" xfId="0" applyFill="1" applyBorder="1" applyAlignment="1">
      <alignment horizontal="center" vertical="center"/>
    </xf>
    <xf numFmtId="0" fontId="1" fillId="2" borderId="1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1" fillId="5" borderId="31" xfId="0" applyFont="1" applyFill="1" applyBorder="1" applyAlignment="1">
      <alignment horizontal="left" vertical="center"/>
    </xf>
    <xf numFmtId="0" fontId="1" fillId="5" borderId="31" xfId="0" applyFont="1" applyFill="1" applyBorder="1" applyAlignment="1">
      <alignment horizontal="center" vertical="center"/>
    </xf>
    <xf numFmtId="1" fontId="1" fillId="5" borderId="31" xfId="0" applyNumberFormat="1" applyFont="1" applyFill="1" applyBorder="1" applyAlignment="1">
      <alignment horizontal="center" vertical="center"/>
    </xf>
    <xf numFmtId="1" fontId="1" fillId="5" borderId="31" xfId="0" applyNumberFormat="1" applyFont="1" applyFill="1" applyBorder="1" applyAlignment="1">
      <alignment vertical="center"/>
    </xf>
    <xf numFmtId="2" fontId="1" fillId="5" borderId="32" xfId="0" applyNumberFormat="1" applyFont="1" applyFill="1" applyBorder="1" applyAlignment="1">
      <alignment horizontal="right" vertical="center"/>
    </xf>
    <xf numFmtId="0" fontId="0" fillId="5" borderId="16" xfId="0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1" fontId="1" fillId="5" borderId="0" xfId="0" applyNumberFormat="1" applyFont="1" applyFill="1" applyAlignment="1">
      <alignment horizontal="center" vertical="center"/>
    </xf>
    <xf numFmtId="1" fontId="1" fillId="5" borderId="0" xfId="0" applyNumberFormat="1" applyFont="1" applyFill="1" applyAlignment="1">
      <alignment vertical="center"/>
    </xf>
    <xf numFmtId="2" fontId="1" fillId="5" borderId="12" xfId="0" applyNumberFormat="1" applyFont="1" applyFill="1" applyBorder="1" applyAlignment="1">
      <alignment horizontal="right" vertical="center"/>
    </xf>
    <xf numFmtId="0" fontId="0" fillId="5" borderId="33" xfId="0" applyFill="1" applyBorder="1" applyAlignment="1">
      <alignment horizontal="center" vertical="center"/>
    </xf>
    <xf numFmtId="0" fontId="1" fillId="5" borderId="34" xfId="0" applyFont="1" applyFill="1" applyBorder="1" applyAlignment="1">
      <alignment horizontal="left" vertical="center"/>
    </xf>
    <xf numFmtId="0" fontId="1" fillId="5" borderId="34" xfId="0" applyFont="1" applyFill="1" applyBorder="1" applyAlignment="1">
      <alignment horizontal="center" vertical="center"/>
    </xf>
    <xf numFmtId="1" fontId="1" fillId="5" borderId="34" xfId="0" applyNumberFormat="1" applyFont="1" applyFill="1" applyBorder="1" applyAlignment="1">
      <alignment horizontal="center" vertical="center"/>
    </xf>
    <xf numFmtId="1" fontId="1" fillId="5" borderId="34" xfId="0" applyNumberFormat="1" applyFont="1" applyFill="1" applyBorder="1" applyAlignment="1">
      <alignment vertical="center"/>
    </xf>
    <xf numFmtId="0" fontId="1" fillId="0" borderId="0" xfId="0" applyFont="1"/>
    <xf numFmtId="0" fontId="7" fillId="0" borderId="0" xfId="0" applyFont="1"/>
    <xf numFmtId="0" fontId="16" fillId="2" borderId="35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right" vertical="center"/>
    </xf>
    <xf numFmtId="0" fontId="0" fillId="0" borderId="35" xfId="0" applyBorder="1"/>
    <xf numFmtId="0" fontId="11" fillId="2" borderId="35" xfId="0" applyFont="1" applyFill="1" applyBorder="1" applyAlignment="1">
      <alignment horizontal="right" vertical="center"/>
    </xf>
    <xf numFmtId="0" fontId="17" fillId="2" borderId="35" xfId="0" applyFont="1" applyFill="1" applyBorder="1" applyAlignment="1">
      <alignment horizontal="left" vertical="center"/>
    </xf>
    <xf numFmtId="0" fontId="5" fillId="2" borderId="35" xfId="0" applyFont="1" applyFill="1" applyBorder="1" applyAlignment="1">
      <alignment horizontal="left" vertical="center"/>
    </xf>
    <xf numFmtId="0" fontId="17" fillId="0" borderId="0" xfId="0" applyFont="1"/>
    <xf numFmtId="0" fontId="18" fillId="2" borderId="35" xfId="0" applyFont="1" applyFill="1" applyBorder="1" applyAlignment="1">
      <alignment horizontal="left" vertical="center"/>
    </xf>
    <xf numFmtId="0" fontId="19" fillId="2" borderId="35" xfId="0" applyFont="1" applyFill="1" applyBorder="1" applyAlignment="1">
      <alignment horizontal="left" vertical="center"/>
    </xf>
    <xf numFmtId="1" fontId="0" fillId="2" borderId="0" xfId="0" applyNumberFormat="1" applyFill="1" applyAlignment="1">
      <alignment horizontal="right" vertical="center"/>
    </xf>
    <xf numFmtId="0" fontId="15" fillId="2" borderId="11" xfId="0" applyFont="1" applyFill="1" applyBorder="1" applyAlignment="1">
      <alignment vertical="top"/>
    </xf>
    <xf numFmtId="0" fontId="15" fillId="2" borderId="8" xfId="0" applyFont="1" applyFill="1" applyBorder="1" applyAlignment="1">
      <alignment vertical="top"/>
    </xf>
    <xf numFmtId="0" fontId="15" fillId="2" borderId="11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left" vertical="center" wrapText="1"/>
    </xf>
    <xf numFmtId="0" fontId="17" fillId="2" borderId="35" xfId="0" applyFont="1" applyFill="1" applyBorder="1" applyAlignment="1">
      <alignment horizontal="left" vertical="center"/>
    </xf>
    <xf numFmtId="0" fontId="18" fillId="2" borderId="35" xfId="0" applyFont="1" applyFill="1" applyBorder="1" applyAlignment="1">
      <alignment horizontal="left" vertical="center"/>
    </xf>
    <xf numFmtId="0" fontId="15" fillId="2" borderId="11" xfId="0" applyFont="1" applyFill="1" applyBorder="1" applyAlignment="1">
      <alignment horizontal="left" vertical="center" wrapText="1"/>
    </xf>
    <xf numFmtId="165" fontId="1" fillId="2" borderId="8" xfId="0" applyNumberFormat="1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165" fontId="1" fillId="2" borderId="11" xfId="0" applyNumberFormat="1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0" borderId="36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6" borderId="0" xfId="0" applyFont="1" applyFill="1" applyAlignment="1">
      <alignment horizontal="left" vertical="center" wrapText="1"/>
    </xf>
    <xf numFmtId="165" fontId="1" fillId="3" borderId="8" xfId="0" applyNumberFormat="1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165" fontId="15" fillId="2" borderId="8" xfId="0" applyNumberFormat="1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" fillId="7" borderId="8" xfId="0" applyFont="1" applyFill="1" applyBorder="1" applyAlignment="1">
      <alignment horizontal="left" vertical="center" wrapText="1"/>
    </xf>
    <xf numFmtId="0" fontId="1" fillId="6" borderId="8" xfId="0" applyFont="1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center" vertical="center" wrapText="1"/>
    </xf>
    <xf numFmtId="165" fontId="1" fillId="7" borderId="8" xfId="0" applyNumberFormat="1" applyFont="1" applyFill="1" applyBorder="1" applyAlignment="1">
      <alignment horizontal="left" vertical="center" wrapText="1"/>
    </xf>
    <xf numFmtId="17" fontId="12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2" fillId="2" borderId="0" xfId="0" applyFont="1" applyFill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164" fontId="5" fillId="2" borderId="0" xfId="0" applyNumberFormat="1" applyFont="1" applyFill="1" applyAlignment="1" applyProtection="1">
      <alignment horizontal="left" vertical="center"/>
      <protection locked="0"/>
    </xf>
    <xf numFmtId="15" fontId="4" fillId="2" borderId="0" xfId="0" applyNumberFormat="1" applyFont="1" applyFill="1" applyAlignment="1" applyProtection="1">
      <alignment horizontal="left" vertical="center"/>
      <protection locked="0"/>
    </xf>
  </cellXfs>
  <cellStyles count="1">
    <cellStyle name="Normal" xfId="0" builtinId="0"/>
  </cellStyles>
  <dxfs count="18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1763806</xdr:colOff>
      <xdr:row>5</xdr:row>
      <xdr:rowOff>33618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43C7A15-D110-4A8A-B96E-ADC1778A5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2300" y="704850"/>
          <a:ext cx="1801906" cy="652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22"/>
  <sheetViews>
    <sheetView tabSelected="1" topLeftCell="B1" zoomScale="115" zoomScaleNormal="115" workbookViewId="0">
      <selection activeCell="F75" sqref="F75"/>
    </sheetView>
  </sheetViews>
  <sheetFormatPr baseColWidth="10" defaultColWidth="8.85546875" defaultRowHeight="15" x14ac:dyDescent="0.25"/>
  <cols>
    <col min="2" max="2" width="16" customWidth="1"/>
    <col min="3" max="3" width="22.5703125" customWidth="1"/>
    <col min="4" max="4" width="26.85546875" customWidth="1"/>
    <col min="5" max="5" width="17" customWidth="1"/>
    <col min="6" max="6" width="10.5703125" customWidth="1"/>
    <col min="8" max="8" width="7.42578125" customWidth="1"/>
    <col min="9" max="9" width="32.140625" customWidth="1"/>
    <col min="10" max="10" width="14.5703125" customWidth="1"/>
    <col min="11" max="11" width="12.5703125" customWidth="1"/>
  </cols>
  <sheetData>
    <row r="2" spans="1:11" ht="19.5" thickBot="1" x14ac:dyDescent="0.3">
      <c r="A2" s="128" t="s">
        <v>0</v>
      </c>
      <c r="B2" s="128"/>
      <c r="C2" s="128"/>
      <c r="D2" s="128"/>
      <c r="E2" s="128"/>
      <c r="F2" s="128"/>
      <c r="G2" s="128"/>
      <c r="H2" s="128"/>
      <c r="I2" s="128"/>
      <c r="K2" s="1"/>
    </row>
    <row r="3" spans="1:11" ht="21.6" customHeight="1" thickBo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11" ht="31.5" customHeight="1" thickBot="1" x14ac:dyDescent="0.3">
      <c r="A4" s="3"/>
      <c r="B4" s="4" t="s">
        <v>1</v>
      </c>
      <c r="C4" s="5"/>
      <c r="D4" s="6"/>
      <c r="E4" s="129" t="s">
        <v>2</v>
      </c>
      <c r="F4" s="130"/>
      <c r="G4" s="130"/>
      <c r="H4" s="131"/>
      <c r="I4" s="7">
        <v>45393</v>
      </c>
    </row>
    <row r="5" spans="1:11" ht="17.25" customHeight="1" x14ac:dyDescent="0.25">
      <c r="A5" s="6"/>
      <c r="B5" s="6"/>
      <c r="C5" s="6"/>
      <c r="D5" s="6"/>
      <c r="E5" s="6"/>
      <c r="F5" s="6"/>
      <c r="G5" s="2"/>
      <c r="H5" s="2"/>
      <c r="I5" s="2"/>
    </row>
    <row r="6" spans="1:11" ht="24.75" customHeight="1" x14ac:dyDescent="0.25">
      <c r="A6" s="8">
        <v>1</v>
      </c>
      <c r="B6" s="9" t="s">
        <v>3</v>
      </c>
      <c r="C6" s="10"/>
      <c r="D6" s="132"/>
      <c r="E6" s="133"/>
      <c r="F6" s="133"/>
      <c r="G6" s="133"/>
      <c r="H6" s="133"/>
      <c r="I6" s="133"/>
    </row>
    <row r="7" spans="1:11" ht="18.75" customHeight="1" x14ac:dyDescent="0.25">
      <c r="A7" s="8"/>
      <c r="B7" s="11" t="s">
        <v>4</v>
      </c>
      <c r="C7" s="12"/>
      <c r="D7" s="132"/>
      <c r="E7" s="133"/>
      <c r="F7" s="133"/>
      <c r="G7" s="133"/>
      <c r="H7" s="133"/>
      <c r="I7" s="133"/>
    </row>
    <row r="8" spans="1:11" ht="27.75" customHeight="1" x14ac:dyDescent="0.25">
      <c r="A8" s="8"/>
      <c r="B8" s="11"/>
      <c r="C8" s="12"/>
      <c r="D8" s="132" t="s">
        <v>58</v>
      </c>
      <c r="E8" s="132"/>
      <c r="F8" s="132"/>
      <c r="G8" s="132"/>
      <c r="H8" s="132"/>
      <c r="I8" s="132"/>
    </row>
    <row r="9" spans="1:11" ht="27.75" customHeight="1" x14ac:dyDescent="0.25">
      <c r="A9" s="8"/>
      <c r="B9" s="11"/>
      <c r="C9" s="12"/>
      <c r="D9" s="132"/>
      <c r="E9" s="132"/>
      <c r="F9" s="132"/>
      <c r="G9" s="132"/>
      <c r="H9" s="132"/>
      <c r="I9" s="132"/>
    </row>
    <row r="10" spans="1:11" ht="15.75" x14ac:dyDescent="0.25">
      <c r="A10" s="13" t="s">
        <v>5</v>
      </c>
      <c r="B10" s="11" t="s">
        <v>6</v>
      </c>
      <c r="C10" s="12"/>
      <c r="D10" s="134" t="s">
        <v>7</v>
      </c>
      <c r="E10" s="134"/>
      <c r="F10" s="134"/>
      <c r="G10" s="134"/>
      <c r="H10" s="134"/>
      <c r="I10" s="134"/>
    </row>
    <row r="11" spans="1:11" ht="15.75" x14ac:dyDescent="0.25">
      <c r="A11" s="13" t="s">
        <v>8</v>
      </c>
      <c r="B11" s="11" t="s">
        <v>9</v>
      </c>
      <c r="C11" s="12"/>
      <c r="D11" s="135"/>
      <c r="E11" s="135"/>
      <c r="F11" s="135"/>
      <c r="G11" s="135"/>
      <c r="H11" s="135"/>
      <c r="I11" s="135"/>
    </row>
    <row r="12" spans="1:11" ht="15.75" x14ac:dyDescent="0.25">
      <c r="A12" s="13" t="s">
        <v>10</v>
      </c>
      <c r="B12" s="11" t="s">
        <v>11</v>
      </c>
      <c r="C12" s="12"/>
      <c r="D12" s="124" t="s">
        <v>12</v>
      </c>
      <c r="E12" s="124"/>
      <c r="F12" s="124"/>
      <c r="G12" s="124"/>
      <c r="H12" s="124"/>
      <c r="I12" s="124"/>
    </row>
    <row r="13" spans="1:11" ht="15.75" x14ac:dyDescent="0.25">
      <c r="A13" s="13" t="s">
        <v>13</v>
      </c>
      <c r="B13" s="11" t="s">
        <v>14</v>
      </c>
      <c r="C13" s="12"/>
      <c r="D13" s="124" t="s">
        <v>15</v>
      </c>
      <c r="E13" s="124"/>
      <c r="F13" s="124"/>
      <c r="G13" s="124"/>
      <c r="H13" s="124"/>
      <c r="I13" s="124"/>
    </row>
    <row r="14" spans="1:11" ht="15.75" x14ac:dyDescent="0.25">
      <c r="A14" s="13" t="s">
        <v>16</v>
      </c>
      <c r="B14" s="11" t="s">
        <v>17</v>
      </c>
      <c r="C14" s="12"/>
      <c r="D14" s="136"/>
      <c r="E14" s="136"/>
      <c r="F14" s="136"/>
      <c r="G14" s="136"/>
      <c r="H14" s="136"/>
      <c r="I14" s="136"/>
    </row>
    <row r="15" spans="1:11" ht="15.75" x14ac:dyDescent="0.25">
      <c r="A15" s="13" t="s">
        <v>18</v>
      </c>
      <c r="B15" s="11" t="s">
        <v>19</v>
      </c>
      <c r="C15" s="12"/>
      <c r="D15" s="127"/>
      <c r="E15" s="127"/>
      <c r="F15" s="127"/>
      <c r="G15" s="127"/>
      <c r="H15" s="127"/>
      <c r="I15" s="127"/>
    </row>
    <row r="16" spans="1:11" ht="16.5" thickBot="1" x14ac:dyDescent="0.3">
      <c r="A16" s="14" t="s">
        <v>20</v>
      </c>
      <c r="B16" s="11" t="s">
        <v>21</v>
      </c>
      <c r="C16" s="15"/>
      <c r="D16" s="123"/>
      <c r="E16" s="124"/>
      <c r="F16" s="124"/>
      <c r="G16" s="124"/>
      <c r="H16" s="124"/>
      <c r="I16" s="124"/>
    </row>
    <row r="17" spans="1:9" ht="15.75" x14ac:dyDescent="0.25">
      <c r="A17" s="16"/>
      <c r="B17" s="10"/>
      <c r="C17" s="10"/>
      <c r="D17" s="10"/>
      <c r="E17" s="10"/>
      <c r="F17" s="10"/>
      <c r="G17" s="10"/>
      <c r="H17" s="10"/>
      <c r="I17" s="10"/>
    </row>
    <row r="18" spans="1:9" ht="15.75" x14ac:dyDescent="0.25">
      <c r="A18" s="8">
        <v>2</v>
      </c>
      <c r="B18" s="9" t="s">
        <v>22</v>
      </c>
      <c r="C18" s="10"/>
      <c r="D18" s="10"/>
      <c r="E18" s="10"/>
      <c r="F18" s="10"/>
      <c r="G18" s="10"/>
      <c r="H18" s="10"/>
      <c r="I18" s="10"/>
    </row>
    <row r="19" spans="1:9" ht="15.75" x14ac:dyDescent="0.25">
      <c r="A19" s="17"/>
      <c r="B19" s="9"/>
      <c r="C19" s="10"/>
      <c r="D19" s="10"/>
      <c r="E19" s="10"/>
      <c r="F19" s="10"/>
      <c r="G19" s="10"/>
      <c r="H19" s="10"/>
      <c r="I19" s="10"/>
    </row>
    <row r="20" spans="1:9" ht="25.5" x14ac:dyDescent="0.25">
      <c r="A20" s="18" t="s">
        <v>23</v>
      </c>
      <c r="B20" s="19" t="s">
        <v>22</v>
      </c>
      <c r="C20" s="19"/>
      <c r="D20" s="19"/>
      <c r="E20" s="20"/>
      <c r="F20" s="20" t="s">
        <v>24</v>
      </c>
      <c r="G20" s="20" t="s">
        <v>25</v>
      </c>
      <c r="H20" s="20" t="s">
        <v>26</v>
      </c>
      <c r="I20" s="21" t="s">
        <v>27</v>
      </c>
    </row>
    <row r="21" spans="1:9" x14ac:dyDescent="0.25">
      <c r="A21" s="125"/>
      <c r="B21" s="126"/>
      <c r="C21" s="126"/>
      <c r="D21" s="126"/>
      <c r="E21" s="126"/>
      <c r="F21" s="22"/>
      <c r="G21" s="22"/>
      <c r="H21" s="22" t="s">
        <v>28</v>
      </c>
      <c r="I21" s="23"/>
    </row>
    <row r="22" spans="1:9" x14ac:dyDescent="0.25">
      <c r="A22" s="24"/>
      <c r="B22" s="110"/>
      <c r="C22" s="110"/>
      <c r="D22" s="110"/>
      <c r="E22" s="110"/>
      <c r="F22" s="25"/>
      <c r="G22" s="26"/>
      <c r="H22" s="26"/>
      <c r="I22" s="27">
        <f>SUM(I23:I50)</f>
        <v>0</v>
      </c>
    </row>
    <row r="23" spans="1:9" ht="15" customHeight="1" x14ac:dyDescent="0.25">
      <c r="A23" s="28">
        <v>1</v>
      </c>
      <c r="B23" s="116" t="s">
        <v>59</v>
      </c>
      <c r="C23" s="117"/>
      <c r="D23" s="117"/>
      <c r="E23" s="117"/>
      <c r="F23" s="29">
        <v>8</v>
      </c>
      <c r="G23" s="30" t="s">
        <v>30</v>
      </c>
      <c r="H23" s="29"/>
      <c r="I23" s="31">
        <f>F23*H23</f>
        <v>0</v>
      </c>
    </row>
    <row r="24" spans="1:9" ht="15" customHeight="1" x14ac:dyDescent="0.25">
      <c r="A24" s="28">
        <v>2</v>
      </c>
      <c r="B24" s="116" t="s">
        <v>60</v>
      </c>
      <c r="C24" s="117"/>
      <c r="D24" s="117"/>
      <c r="E24" s="117"/>
      <c r="F24" s="29">
        <v>2</v>
      </c>
      <c r="G24" s="30" t="s">
        <v>30</v>
      </c>
      <c r="H24" s="29"/>
      <c r="I24" s="31">
        <f>F24*H24</f>
        <v>0</v>
      </c>
    </row>
    <row r="25" spans="1:9" ht="15" customHeight="1" x14ac:dyDescent="0.25">
      <c r="A25" s="28">
        <v>3</v>
      </c>
      <c r="B25" s="116" t="s">
        <v>61</v>
      </c>
      <c r="C25" s="117"/>
      <c r="D25" s="117"/>
      <c r="E25" s="117"/>
      <c r="F25" s="29">
        <v>7</v>
      </c>
      <c r="G25" s="30" t="s">
        <v>30</v>
      </c>
      <c r="H25" s="29"/>
      <c r="I25" s="31">
        <f>F25*H25</f>
        <v>0</v>
      </c>
    </row>
    <row r="26" spans="1:9" ht="15" customHeight="1" x14ac:dyDescent="0.25">
      <c r="A26" s="28">
        <v>4</v>
      </c>
      <c r="B26" s="116" t="s">
        <v>62</v>
      </c>
      <c r="C26" s="117"/>
      <c r="D26" s="117"/>
      <c r="E26" s="117"/>
      <c r="F26" s="29">
        <v>4</v>
      </c>
      <c r="G26" s="30" t="s">
        <v>30</v>
      </c>
      <c r="H26" s="29"/>
      <c r="I26" s="31">
        <f>F26*H26</f>
        <v>0</v>
      </c>
    </row>
    <row r="27" spans="1:9" ht="15" customHeight="1" x14ac:dyDescent="0.25">
      <c r="A27" s="28">
        <v>5</v>
      </c>
      <c r="B27" s="116" t="s">
        <v>63</v>
      </c>
      <c r="C27" s="117"/>
      <c r="D27" s="117"/>
      <c r="E27" s="117"/>
      <c r="F27" s="29">
        <v>8</v>
      </c>
      <c r="G27" s="30" t="s">
        <v>30</v>
      </c>
      <c r="H27" s="29"/>
      <c r="I27" s="31">
        <f>H27*F27</f>
        <v>0</v>
      </c>
    </row>
    <row r="28" spans="1:9" ht="15" customHeight="1" x14ac:dyDescent="0.25">
      <c r="A28" s="28">
        <v>6</v>
      </c>
      <c r="B28" s="116" t="s">
        <v>64</v>
      </c>
      <c r="C28" s="117"/>
      <c r="D28" s="117"/>
      <c r="E28" s="117"/>
      <c r="F28" s="29">
        <v>10</v>
      </c>
      <c r="G28" s="30" t="s">
        <v>30</v>
      </c>
      <c r="H28" s="29"/>
      <c r="I28" s="31">
        <f t="shared" ref="I28:I50" si="0">IF(F28&gt;0,H28*F28,"")</f>
        <v>0</v>
      </c>
    </row>
    <row r="29" spans="1:9" ht="15" customHeight="1" x14ac:dyDescent="0.25">
      <c r="A29" s="28">
        <v>7</v>
      </c>
      <c r="B29" s="116" t="s">
        <v>65</v>
      </c>
      <c r="C29" s="117"/>
      <c r="D29" s="117"/>
      <c r="E29" s="117"/>
      <c r="F29" s="29">
        <v>100</v>
      </c>
      <c r="G29" s="30" t="s">
        <v>30</v>
      </c>
      <c r="H29" s="29"/>
      <c r="I29" s="31">
        <f t="shared" si="0"/>
        <v>0</v>
      </c>
    </row>
    <row r="30" spans="1:9" ht="15" customHeight="1" x14ac:dyDescent="0.25">
      <c r="A30" s="28">
        <v>8</v>
      </c>
      <c r="B30" s="105" t="s">
        <v>66</v>
      </c>
      <c r="C30" s="120"/>
      <c r="D30" s="120"/>
      <c r="E30" s="120"/>
      <c r="F30" s="32">
        <v>3</v>
      </c>
      <c r="G30" s="30" t="s">
        <v>29</v>
      </c>
      <c r="H30" s="33"/>
      <c r="I30" s="31">
        <f t="shared" si="0"/>
        <v>0</v>
      </c>
    </row>
    <row r="31" spans="1:9" ht="15" customHeight="1" x14ac:dyDescent="0.25">
      <c r="A31" s="28">
        <v>9</v>
      </c>
      <c r="B31" s="117" t="s">
        <v>67</v>
      </c>
      <c r="C31" s="117"/>
      <c r="D31" s="117"/>
      <c r="E31" s="117"/>
      <c r="F31" s="29">
        <v>10</v>
      </c>
      <c r="G31" s="30" t="s">
        <v>30</v>
      </c>
      <c r="H31" s="29"/>
      <c r="I31" s="31">
        <f t="shared" si="0"/>
        <v>0</v>
      </c>
    </row>
    <row r="32" spans="1:9" ht="15" customHeight="1" x14ac:dyDescent="0.25">
      <c r="A32" s="28">
        <v>10</v>
      </c>
      <c r="B32" s="105" t="s">
        <v>68</v>
      </c>
      <c r="C32" s="105"/>
      <c r="D32" s="105"/>
      <c r="E32" s="105"/>
      <c r="F32" s="29">
        <v>33</v>
      </c>
      <c r="G32" s="30" t="s">
        <v>30</v>
      </c>
      <c r="H32" s="29"/>
      <c r="I32" s="31">
        <f t="shared" si="0"/>
        <v>0</v>
      </c>
    </row>
    <row r="33" spans="1:9" ht="15" customHeight="1" x14ac:dyDescent="0.25">
      <c r="A33" s="28">
        <v>11</v>
      </c>
      <c r="B33" s="116" t="s">
        <v>69</v>
      </c>
      <c r="C33" s="117"/>
      <c r="D33" s="117"/>
      <c r="E33" s="117"/>
      <c r="F33" s="29">
        <v>30</v>
      </c>
      <c r="G33" s="30" t="s">
        <v>30</v>
      </c>
      <c r="H33" s="29"/>
      <c r="I33" s="31">
        <f t="shared" si="0"/>
        <v>0</v>
      </c>
    </row>
    <row r="34" spans="1:9" ht="15" customHeight="1" x14ac:dyDescent="0.25">
      <c r="A34" s="28">
        <v>12</v>
      </c>
      <c r="B34" s="116" t="s">
        <v>70</v>
      </c>
      <c r="C34" s="117"/>
      <c r="D34" s="117"/>
      <c r="E34" s="117"/>
      <c r="F34" s="29">
        <v>2</v>
      </c>
      <c r="G34" s="30" t="s">
        <v>30</v>
      </c>
      <c r="H34" s="29"/>
      <c r="I34" s="31">
        <f t="shared" si="0"/>
        <v>0</v>
      </c>
    </row>
    <row r="35" spans="1:9" x14ac:dyDescent="0.25">
      <c r="A35" s="28">
        <v>13</v>
      </c>
      <c r="B35" s="105" t="s">
        <v>71</v>
      </c>
      <c r="C35" s="120"/>
      <c r="D35" s="120"/>
      <c r="E35" s="120"/>
      <c r="F35" s="32">
        <v>5</v>
      </c>
      <c r="G35" s="34" t="s">
        <v>30</v>
      </c>
      <c r="H35" s="29"/>
      <c r="I35" s="35">
        <f t="shared" si="0"/>
        <v>0</v>
      </c>
    </row>
    <row r="36" spans="1:9" x14ac:dyDescent="0.25">
      <c r="A36" s="28">
        <v>14</v>
      </c>
      <c r="B36" s="117" t="s">
        <v>72</v>
      </c>
      <c r="C36" s="117"/>
      <c r="D36" s="117"/>
      <c r="E36" s="117"/>
      <c r="F36" s="29">
        <v>2</v>
      </c>
      <c r="G36" s="36" t="s">
        <v>30</v>
      </c>
      <c r="H36" s="29"/>
      <c r="I36" s="31">
        <f t="shared" si="0"/>
        <v>0</v>
      </c>
    </row>
    <row r="37" spans="1:9" x14ac:dyDescent="0.25">
      <c r="A37" s="28">
        <v>15</v>
      </c>
      <c r="B37" s="105" t="s">
        <v>73</v>
      </c>
      <c r="C37" s="105"/>
      <c r="D37" s="105"/>
      <c r="E37" s="105"/>
      <c r="F37" s="29">
        <v>135</v>
      </c>
      <c r="G37" s="36" t="s">
        <v>29</v>
      </c>
      <c r="H37" s="33"/>
      <c r="I37" s="31">
        <f t="shared" si="0"/>
        <v>0</v>
      </c>
    </row>
    <row r="38" spans="1:9" x14ac:dyDescent="0.25">
      <c r="A38" s="28">
        <v>16</v>
      </c>
      <c r="B38" s="99" t="s">
        <v>74</v>
      </c>
      <c r="C38" s="99"/>
      <c r="D38" s="99"/>
      <c r="E38" s="99"/>
      <c r="F38" s="29">
        <v>135</v>
      </c>
      <c r="G38" s="36" t="s">
        <v>29</v>
      </c>
      <c r="H38" s="98"/>
      <c r="I38" s="31"/>
    </row>
    <row r="39" spans="1:9" ht="15.75" customHeight="1" x14ac:dyDescent="0.25">
      <c r="A39" s="28">
        <v>17</v>
      </c>
      <c r="B39" s="100" t="s">
        <v>75</v>
      </c>
      <c r="C39" s="100"/>
      <c r="D39" s="100"/>
      <c r="E39" s="100"/>
      <c r="F39" s="29">
        <v>210</v>
      </c>
      <c r="G39" s="36" t="s">
        <v>29</v>
      </c>
      <c r="H39" s="98"/>
      <c r="I39" s="31"/>
    </row>
    <row r="40" spans="1:9" x14ac:dyDescent="0.25">
      <c r="A40" s="28">
        <v>18</v>
      </c>
      <c r="B40" s="105" t="s">
        <v>76</v>
      </c>
      <c r="C40" s="105"/>
      <c r="D40" s="105"/>
      <c r="E40" s="105"/>
      <c r="F40" s="29">
        <v>210</v>
      </c>
      <c r="G40" s="36" t="s">
        <v>29</v>
      </c>
      <c r="H40" s="29"/>
      <c r="I40" s="31">
        <f t="shared" si="0"/>
        <v>0</v>
      </c>
    </row>
    <row r="41" spans="1:9" x14ac:dyDescent="0.25">
      <c r="A41" s="28">
        <v>19</v>
      </c>
      <c r="B41" s="45" t="s">
        <v>31</v>
      </c>
      <c r="C41" s="45"/>
      <c r="D41" s="45"/>
      <c r="E41" s="45"/>
      <c r="F41" s="29">
        <v>45</v>
      </c>
      <c r="G41" s="36" t="s">
        <v>30</v>
      </c>
      <c r="H41" s="29"/>
      <c r="I41" s="31"/>
    </row>
    <row r="42" spans="1:9" x14ac:dyDescent="0.25">
      <c r="A42" s="28">
        <v>20</v>
      </c>
      <c r="B42" s="101" t="s">
        <v>77</v>
      </c>
      <c r="C42" s="101"/>
      <c r="D42" s="101"/>
      <c r="E42" s="101"/>
      <c r="F42" s="29">
        <v>50</v>
      </c>
      <c r="G42" s="36" t="s">
        <v>30</v>
      </c>
      <c r="H42" s="29"/>
      <c r="I42" s="31"/>
    </row>
    <row r="43" spans="1:9" x14ac:dyDescent="0.25">
      <c r="A43" s="28">
        <v>21</v>
      </c>
      <c r="B43" s="101" t="s">
        <v>78</v>
      </c>
      <c r="C43" s="101"/>
      <c r="D43" s="101"/>
      <c r="E43" s="101"/>
      <c r="F43" s="29">
        <v>100</v>
      </c>
      <c r="G43" s="36" t="s">
        <v>30</v>
      </c>
      <c r="H43" s="29"/>
      <c r="I43" s="31"/>
    </row>
    <row r="44" spans="1:9" x14ac:dyDescent="0.25">
      <c r="A44" s="28">
        <v>22</v>
      </c>
      <c r="B44" s="101" t="s">
        <v>79</v>
      </c>
      <c r="C44" s="101"/>
      <c r="D44" s="101"/>
      <c r="E44" s="101"/>
      <c r="F44" s="29">
        <v>4</v>
      </c>
      <c r="G44" s="36" t="s">
        <v>80</v>
      </c>
      <c r="H44" s="29"/>
      <c r="I44" s="31"/>
    </row>
    <row r="45" spans="1:9" x14ac:dyDescent="0.25">
      <c r="A45" s="28">
        <v>23</v>
      </c>
      <c r="B45" s="101" t="s">
        <v>81</v>
      </c>
      <c r="C45" s="101"/>
      <c r="D45" s="101"/>
      <c r="E45" s="101"/>
      <c r="F45" s="29">
        <v>4</v>
      </c>
      <c r="G45" s="36" t="s">
        <v>80</v>
      </c>
      <c r="H45" s="29"/>
      <c r="I45" s="31"/>
    </row>
    <row r="46" spans="1:9" x14ac:dyDescent="0.25">
      <c r="A46" s="28">
        <v>24</v>
      </c>
      <c r="B46" s="101" t="s">
        <v>82</v>
      </c>
      <c r="C46" s="101"/>
      <c r="D46" s="101"/>
      <c r="E46" s="101"/>
      <c r="F46" s="29">
        <v>4</v>
      </c>
      <c r="G46" s="36" t="s">
        <v>29</v>
      </c>
      <c r="H46" s="29"/>
      <c r="I46" s="31"/>
    </row>
    <row r="47" spans="1:9" x14ac:dyDescent="0.25">
      <c r="A47" s="28">
        <v>25</v>
      </c>
      <c r="B47" s="101" t="s">
        <v>83</v>
      </c>
      <c r="C47" s="101"/>
      <c r="D47" s="101"/>
      <c r="E47" s="101"/>
      <c r="F47" s="29">
        <v>40</v>
      </c>
      <c r="G47" s="36" t="s">
        <v>30</v>
      </c>
      <c r="H47" s="29"/>
      <c r="I47" s="31"/>
    </row>
    <row r="48" spans="1:9" x14ac:dyDescent="0.25">
      <c r="A48" s="28">
        <v>26</v>
      </c>
      <c r="B48" s="101" t="s">
        <v>84</v>
      </c>
      <c r="C48" s="101"/>
      <c r="D48" s="101"/>
      <c r="E48" s="101"/>
      <c r="F48" s="29">
        <v>25</v>
      </c>
      <c r="G48" s="36" t="s">
        <v>30</v>
      </c>
      <c r="H48" s="29"/>
      <c r="I48" s="31"/>
    </row>
    <row r="49" spans="1:9" x14ac:dyDescent="0.25">
      <c r="A49" s="28">
        <v>27</v>
      </c>
      <c r="B49" s="101" t="s">
        <v>85</v>
      </c>
      <c r="C49" s="101"/>
      <c r="D49" s="101"/>
      <c r="E49" s="101"/>
      <c r="F49" s="29">
        <v>2</v>
      </c>
      <c r="G49" s="36" t="s">
        <v>30</v>
      </c>
      <c r="H49" s="29"/>
      <c r="I49" s="31"/>
    </row>
    <row r="50" spans="1:9" x14ac:dyDescent="0.25">
      <c r="A50" s="28">
        <v>28</v>
      </c>
      <c r="B50" s="105"/>
      <c r="C50" s="105"/>
      <c r="D50" s="105"/>
      <c r="E50" s="105"/>
      <c r="F50" s="29"/>
      <c r="G50" s="36" t="s">
        <v>30</v>
      </c>
      <c r="H50" s="29"/>
      <c r="I50" s="31" t="str">
        <f t="shared" si="0"/>
        <v/>
      </c>
    </row>
    <row r="51" spans="1:9" ht="0.75" customHeight="1" x14ac:dyDescent="0.25">
      <c r="A51" s="28">
        <v>29</v>
      </c>
      <c r="B51" s="102"/>
      <c r="C51" s="102"/>
      <c r="D51" s="102"/>
      <c r="E51" s="102"/>
      <c r="F51" s="29"/>
      <c r="G51" s="46"/>
      <c r="H51" s="29"/>
      <c r="I51" s="47"/>
    </row>
    <row r="52" spans="1:9" ht="15" customHeight="1" thickBot="1" x14ac:dyDescent="0.3">
      <c r="A52" s="37">
        <v>30</v>
      </c>
      <c r="B52" s="38"/>
      <c r="C52" s="38"/>
      <c r="D52" s="38"/>
      <c r="E52" s="38" t="s">
        <v>32</v>
      </c>
      <c r="F52" s="39"/>
      <c r="G52" s="40"/>
      <c r="H52" s="41"/>
      <c r="I52" s="42">
        <f>AVERAGE(I23:I50)</f>
        <v>0</v>
      </c>
    </row>
    <row r="53" spans="1:9" ht="15.75" customHeight="1" thickTop="1" x14ac:dyDescent="0.25">
      <c r="A53" s="43">
        <v>27</v>
      </c>
      <c r="B53" s="121" t="s">
        <v>33</v>
      </c>
      <c r="C53" s="121"/>
      <c r="D53" s="121"/>
      <c r="E53" s="121"/>
      <c r="F53" s="22"/>
      <c r="G53" s="22"/>
      <c r="H53" s="22"/>
      <c r="I53" s="23"/>
    </row>
    <row r="54" spans="1:9" x14ac:dyDescent="0.25">
      <c r="A54" s="44"/>
      <c r="B54" s="107"/>
      <c r="C54" s="107"/>
      <c r="D54" s="107"/>
      <c r="E54" s="107"/>
      <c r="F54" s="25"/>
      <c r="G54" s="26"/>
      <c r="H54" s="26"/>
      <c r="I54" s="27">
        <f>I56+I57+I58+I59</f>
        <v>0</v>
      </c>
    </row>
    <row r="55" spans="1:9" ht="15" customHeight="1" x14ac:dyDescent="0.25">
      <c r="A55" s="28">
        <v>40</v>
      </c>
      <c r="B55" s="122" t="s">
        <v>34</v>
      </c>
      <c r="C55" s="122"/>
      <c r="D55" s="122"/>
      <c r="E55" s="122"/>
      <c r="F55" s="29"/>
      <c r="G55" s="30"/>
      <c r="H55" s="29"/>
      <c r="I55" s="31" t="str">
        <f t="shared" ref="I55:I69" si="1">IF(F55&gt;0,H55*F55,"")</f>
        <v/>
      </c>
    </row>
    <row r="56" spans="1:9" ht="15" customHeight="1" x14ac:dyDescent="0.25">
      <c r="A56" s="28">
        <v>41</v>
      </c>
      <c r="B56" s="116" t="s">
        <v>35</v>
      </c>
      <c r="C56" s="116"/>
      <c r="D56" s="116"/>
      <c r="E56" s="116"/>
      <c r="F56" s="29"/>
      <c r="G56" s="30" t="s">
        <v>36</v>
      </c>
      <c r="H56" s="29">
        <v>10023</v>
      </c>
      <c r="I56" s="31">
        <f>F56*H56</f>
        <v>0</v>
      </c>
    </row>
    <row r="57" spans="1:9" ht="15" customHeight="1" x14ac:dyDescent="0.25">
      <c r="A57" s="28">
        <v>42</v>
      </c>
      <c r="B57" s="116" t="s">
        <v>37</v>
      </c>
      <c r="C57" s="116"/>
      <c r="D57" s="116"/>
      <c r="E57" s="116"/>
      <c r="F57" s="29"/>
      <c r="G57" s="30" t="s">
        <v>36</v>
      </c>
      <c r="H57" s="29">
        <v>20616</v>
      </c>
      <c r="I57" s="31">
        <f>F57*H57</f>
        <v>0</v>
      </c>
    </row>
    <row r="58" spans="1:9" ht="15" customHeight="1" x14ac:dyDescent="0.25">
      <c r="A58" s="28">
        <v>43</v>
      </c>
      <c r="B58" s="116" t="s">
        <v>38</v>
      </c>
      <c r="C58" s="116"/>
      <c r="D58" s="116"/>
      <c r="E58" s="116"/>
      <c r="F58" s="29"/>
      <c r="G58" s="30" t="s">
        <v>36</v>
      </c>
      <c r="H58" s="29">
        <v>17577</v>
      </c>
      <c r="I58" s="31">
        <f>F58*H58</f>
        <v>0</v>
      </c>
    </row>
    <row r="59" spans="1:9" ht="15" customHeight="1" x14ac:dyDescent="0.25">
      <c r="A59" s="28">
        <v>44</v>
      </c>
      <c r="B59" s="116" t="s">
        <v>39</v>
      </c>
      <c r="C59" s="116"/>
      <c r="D59" s="116"/>
      <c r="E59" s="116"/>
      <c r="F59" s="29"/>
      <c r="G59" s="30" t="s">
        <v>36</v>
      </c>
      <c r="H59" s="29">
        <v>16363</v>
      </c>
      <c r="I59" s="31">
        <f>F59*H59</f>
        <v>0</v>
      </c>
    </row>
    <row r="60" spans="1:9" ht="15" customHeight="1" x14ac:dyDescent="0.25">
      <c r="A60" s="28">
        <v>45</v>
      </c>
      <c r="B60" s="106" t="s">
        <v>40</v>
      </c>
      <c r="C60" s="106"/>
      <c r="D60" s="106"/>
      <c r="E60" s="106"/>
      <c r="F60" s="29"/>
      <c r="G60" s="30"/>
      <c r="H60" s="29">
        <v>24028</v>
      </c>
      <c r="I60" s="31"/>
    </row>
    <row r="61" spans="1:9" ht="13.5" customHeight="1" x14ac:dyDescent="0.25">
      <c r="A61" s="28">
        <v>46</v>
      </c>
      <c r="B61" s="116"/>
      <c r="C61" s="116"/>
      <c r="D61" s="116"/>
      <c r="E61" s="116"/>
      <c r="F61" s="29"/>
      <c r="G61" s="30"/>
      <c r="H61" s="29"/>
      <c r="I61" s="31"/>
    </row>
    <row r="62" spans="1:9" x14ac:dyDescent="0.25">
      <c r="A62" s="28">
        <v>47</v>
      </c>
      <c r="B62" s="45"/>
      <c r="C62" s="45"/>
      <c r="D62" s="45"/>
      <c r="E62" s="45"/>
      <c r="F62" s="29"/>
      <c r="G62" s="30"/>
      <c r="H62" s="29"/>
      <c r="I62" s="31" t="str">
        <f t="shared" si="1"/>
        <v/>
      </c>
    </row>
    <row r="63" spans="1:9" ht="15" customHeight="1" x14ac:dyDescent="0.25">
      <c r="A63" s="28">
        <v>48</v>
      </c>
      <c r="B63" s="118" t="s">
        <v>41</v>
      </c>
      <c r="C63" s="118"/>
      <c r="D63" s="118"/>
      <c r="E63" s="118"/>
      <c r="F63" s="25"/>
      <c r="G63" s="26"/>
      <c r="H63" s="26"/>
      <c r="I63" s="27">
        <f>SUM(I64:I68)</f>
        <v>0</v>
      </c>
    </row>
    <row r="64" spans="1:9" ht="15" customHeight="1" x14ac:dyDescent="0.25">
      <c r="A64" s="28">
        <v>49</v>
      </c>
      <c r="B64" s="117" t="s">
        <v>35</v>
      </c>
      <c r="C64" s="117"/>
      <c r="D64" s="117"/>
      <c r="E64" s="117"/>
      <c r="F64" s="29"/>
      <c r="G64" s="30" t="s">
        <v>36</v>
      </c>
      <c r="H64" s="29">
        <v>5695</v>
      </c>
      <c r="I64" s="31" t="str">
        <f t="shared" si="1"/>
        <v/>
      </c>
    </row>
    <row r="65" spans="1:9" ht="15" customHeight="1" x14ac:dyDescent="0.25">
      <c r="A65" s="28">
        <v>50</v>
      </c>
      <c r="B65" s="117" t="s">
        <v>37</v>
      </c>
      <c r="C65" s="117"/>
      <c r="D65" s="117"/>
      <c r="E65" s="117"/>
      <c r="F65" s="29"/>
      <c r="G65" s="36" t="s">
        <v>36</v>
      </c>
      <c r="H65" s="29">
        <v>11712</v>
      </c>
      <c r="I65" s="31" t="str">
        <f t="shared" si="1"/>
        <v/>
      </c>
    </row>
    <row r="66" spans="1:9" ht="15" customHeight="1" x14ac:dyDescent="0.25">
      <c r="A66" s="28">
        <v>51</v>
      </c>
      <c r="B66" s="117" t="s">
        <v>38</v>
      </c>
      <c r="C66" s="117"/>
      <c r="D66" s="117"/>
      <c r="E66" s="117"/>
      <c r="F66" s="29"/>
      <c r="G66" s="36" t="s">
        <v>36</v>
      </c>
      <c r="H66" s="29">
        <v>9992</v>
      </c>
      <c r="I66" s="31" t="str">
        <f t="shared" si="1"/>
        <v/>
      </c>
    </row>
    <row r="67" spans="1:9" ht="16.5" customHeight="1" x14ac:dyDescent="0.25">
      <c r="A67" s="28">
        <v>52</v>
      </c>
      <c r="B67" s="117" t="s">
        <v>39</v>
      </c>
      <c r="C67" s="117"/>
      <c r="D67" s="117"/>
      <c r="E67" s="117"/>
      <c r="F67" s="29"/>
      <c r="G67" s="36" t="s">
        <v>36</v>
      </c>
      <c r="H67" s="29">
        <v>12072</v>
      </c>
      <c r="I67" s="31" t="str">
        <f t="shared" si="1"/>
        <v/>
      </c>
    </row>
    <row r="68" spans="1:9" ht="15" customHeight="1" x14ac:dyDescent="0.25">
      <c r="A68" s="28">
        <v>53</v>
      </c>
      <c r="B68" s="106" t="s">
        <v>40</v>
      </c>
      <c r="C68" s="106"/>
      <c r="D68" s="106"/>
      <c r="E68" s="106"/>
      <c r="F68" s="29"/>
      <c r="G68" s="36"/>
      <c r="H68" s="29">
        <v>24028</v>
      </c>
      <c r="I68" s="31" t="str">
        <f t="shared" si="1"/>
        <v/>
      </c>
    </row>
    <row r="69" spans="1:9" x14ac:dyDescent="0.25">
      <c r="A69" s="28">
        <v>54</v>
      </c>
      <c r="B69" s="117" t="s">
        <v>42</v>
      </c>
      <c r="C69" s="117"/>
      <c r="D69" s="117"/>
      <c r="E69" s="117"/>
      <c r="F69" s="29"/>
      <c r="G69" s="36"/>
      <c r="H69" s="29"/>
      <c r="I69" s="31" t="str">
        <f t="shared" si="1"/>
        <v/>
      </c>
    </row>
    <row r="70" spans="1:9" ht="16.5" customHeight="1" x14ac:dyDescent="0.25">
      <c r="A70" s="28">
        <v>55</v>
      </c>
      <c r="B70" s="118" t="s">
        <v>43</v>
      </c>
      <c r="C70" s="118"/>
      <c r="D70" s="118"/>
      <c r="E70" s="118"/>
      <c r="F70" s="25"/>
      <c r="G70" s="26"/>
      <c r="H70" s="26"/>
      <c r="I70" s="27">
        <f>SUM(I71:I76)</f>
        <v>1230700</v>
      </c>
    </row>
    <row r="71" spans="1:9" ht="20.25" customHeight="1" x14ac:dyDescent="0.25">
      <c r="A71" s="28">
        <v>56</v>
      </c>
      <c r="B71" s="117" t="s">
        <v>44</v>
      </c>
      <c r="C71" s="117"/>
      <c r="D71" s="117"/>
      <c r="E71" s="117"/>
      <c r="F71" s="29">
        <v>20</v>
      </c>
      <c r="G71" s="36" t="s">
        <v>36</v>
      </c>
      <c r="H71" s="29">
        <v>5695</v>
      </c>
      <c r="I71" s="31">
        <f>F71*H71</f>
        <v>113900</v>
      </c>
    </row>
    <row r="72" spans="1:9" ht="20.25" customHeight="1" x14ac:dyDescent="0.25">
      <c r="A72" s="28">
        <v>57</v>
      </c>
      <c r="B72" s="117" t="s">
        <v>37</v>
      </c>
      <c r="C72" s="117"/>
      <c r="D72" s="117"/>
      <c r="E72" s="117"/>
      <c r="F72" s="29">
        <v>20</v>
      </c>
      <c r="G72" s="36" t="s">
        <v>36</v>
      </c>
      <c r="H72" s="29">
        <v>11712</v>
      </c>
      <c r="I72" s="31">
        <f>H72*F72</f>
        <v>234240</v>
      </c>
    </row>
    <row r="73" spans="1:9" ht="18" customHeight="1" x14ac:dyDescent="0.25">
      <c r="A73" s="28">
        <v>58</v>
      </c>
      <c r="B73" s="117" t="s">
        <v>38</v>
      </c>
      <c r="C73" s="117"/>
      <c r="D73" s="117"/>
      <c r="E73" s="117"/>
      <c r="F73" s="29">
        <v>40</v>
      </c>
      <c r="G73" s="36" t="s">
        <v>36</v>
      </c>
      <c r="H73" s="29">
        <v>9992</v>
      </c>
      <c r="I73" s="31">
        <f>F73*H73</f>
        <v>399680</v>
      </c>
    </row>
    <row r="74" spans="1:9" ht="18" customHeight="1" x14ac:dyDescent="0.25">
      <c r="A74" s="28">
        <v>59</v>
      </c>
      <c r="B74" s="117" t="s">
        <v>39</v>
      </c>
      <c r="C74" s="117"/>
      <c r="D74" s="117"/>
      <c r="E74" s="117"/>
      <c r="F74" s="29">
        <v>40</v>
      </c>
      <c r="G74" s="36" t="s">
        <v>36</v>
      </c>
      <c r="H74" s="29">
        <v>12072</v>
      </c>
      <c r="I74" s="31">
        <f>F74*H74</f>
        <v>482880</v>
      </c>
    </row>
    <row r="75" spans="1:9" ht="18" customHeight="1" x14ac:dyDescent="0.25">
      <c r="A75" s="28">
        <v>60</v>
      </c>
      <c r="B75" s="106" t="s">
        <v>45</v>
      </c>
      <c r="C75" s="106"/>
      <c r="D75" s="106"/>
      <c r="E75" s="106"/>
      <c r="F75" s="29"/>
      <c r="G75" s="46" t="s">
        <v>36</v>
      </c>
      <c r="H75" s="29">
        <v>24028</v>
      </c>
      <c r="I75" s="47">
        <f>F75*H75</f>
        <v>0</v>
      </c>
    </row>
    <row r="76" spans="1:9" ht="15" customHeight="1" thickBot="1" x14ac:dyDescent="0.3">
      <c r="A76" s="37"/>
      <c r="B76" s="38"/>
      <c r="C76" s="38"/>
      <c r="D76" s="38"/>
      <c r="E76" s="38"/>
      <c r="F76" s="39"/>
      <c r="G76" s="40"/>
      <c r="H76" s="41"/>
      <c r="I76" s="42"/>
    </row>
    <row r="77" spans="1:9" ht="15" customHeight="1" thickTop="1" x14ac:dyDescent="0.25">
      <c r="A77" s="48"/>
      <c r="B77" s="49"/>
      <c r="C77" s="49"/>
      <c r="D77" s="49"/>
      <c r="E77" s="49"/>
      <c r="F77" s="50"/>
      <c r="G77" s="51"/>
      <c r="H77" s="52"/>
      <c r="I77" s="53"/>
    </row>
    <row r="78" spans="1:9" ht="15" customHeight="1" x14ac:dyDescent="0.25">
      <c r="A78" s="28">
        <v>60</v>
      </c>
      <c r="B78" s="119" t="s">
        <v>46</v>
      </c>
      <c r="C78" s="119"/>
      <c r="D78" s="119"/>
      <c r="E78" s="119"/>
      <c r="F78" s="25"/>
      <c r="G78" s="26"/>
      <c r="H78" s="26"/>
      <c r="I78" s="27">
        <f>SUM(I79:I84)</f>
        <v>0</v>
      </c>
    </row>
    <row r="79" spans="1:9" ht="15" customHeight="1" x14ac:dyDescent="0.25">
      <c r="A79" s="28">
        <v>61</v>
      </c>
      <c r="B79" s="117" t="s">
        <v>44</v>
      </c>
      <c r="C79" s="117"/>
      <c r="D79" s="117"/>
      <c r="E79" s="117"/>
      <c r="F79" s="29">
        <v>0</v>
      </c>
      <c r="G79" s="36" t="s">
        <v>36</v>
      </c>
      <c r="H79" s="29">
        <v>28468</v>
      </c>
      <c r="I79" s="31">
        <f>F79*H79</f>
        <v>0</v>
      </c>
    </row>
    <row r="80" spans="1:9" x14ac:dyDescent="0.25">
      <c r="A80" s="28">
        <v>62</v>
      </c>
      <c r="B80" s="105" t="s">
        <v>37</v>
      </c>
      <c r="C80" s="105"/>
      <c r="D80" s="105"/>
      <c r="E80" s="105"/>
      <c r="F80" s="29">
        <v>0</v>
      </c>
      <c r="G80" s="36" t="s">
        <v>36</v>
      </c>
      <c r="H80" s="29">
        <v>59347</v>
      </c>
      <c r="I80" s="31">
        <f>F80*H80</f>
        <v>0</v>
      </c>
    </row>
    <row r="81" spans="1:9" x14ac:dyDescent="0.25">
      <c r="A81" s="28">
        <v>63</v>
      </c>
      <c r="B81" s="105" t="s">
        <v>38</v>
      </c>
      <c r="C81" s="105"/>
      <c r="D81" s="105"/>
      <c r="E81" s="105"/>
      <c r="F81" s="29">
        <v>0</v>
      </c>
      <c r="G81" s="36" t="s">
        <v>36</v>
      </c>
      <c r="H81" s="29">
        <v>50649</v>
      </c>
      <c r="I81" s="31">
        <f>F81*H81</f>
        <v>0</v>
      </c>
    </row>
    <row r="82" spans="1:9" x14ac:dyDescent="0.25">
      <c r="A82" s="28">
        <v>64</v>
      </c>
      <c r="B82" s="105" t="s">
        <v>39</v>
      </c>
      <c r="C82" s="105"/>
      <c r="D82" s="105"/>
      <c r="E82" s="105"/>
      <c r="F82" s="29">
        <v>0</v>
      </c>
      <c r="G82" s="36"/>
      <c r="H82" s="29">
        <v>61144</v>
      </c>
      <c r="I82" s="31">
        <f>F82*H82</f>
        <v>0</v>
      </c>
    </row>
    <row r="83" spans="1:9" x14ac:dyDescent="0.25">
      <c r="A83" s="28">
        <v>65</v>
      </c>
      <c r="B83" s="106" t="s">
        <v>45</v>
      </c>
      <c r="C83" s="107"/>
      <c r="D83" s="107"/>
      <c r="E83" s="107"/>
      <c r="F83" s="29"/>
      <c r="G83" s="46"/>
      <c r="H83" s="29">
        <v>24028</v>
      </c>
      <c r="I83" s="47"/>
    </row>
    <row r="84" spans="1:9" ht="15.75" thickBot="1" x14ac:dyDescent="0.3">
      <c r="A84" s="54"/>
      <c r="B84" s="55"/>
      <c r="C84" s="55"/>
      <c r="D84" s="55"/>
      <c r="E84" s="55"/>
      <c r="F84" s="56"/>
      <c r="G84" s="57"/>
      <c r="H84" s="58"/>
      <c r="I84" s="59"/>
    </row>
    <row r="85" spans="1:9" x14ac:dyDescent="0.25">
      <c r="A85" s="60">
        <v>66</v>
      </c>
      <c r="B85" s="113" t="s">
        <v>47</v>
      </c>
      <c r="C85" s="113"/>
      <c r="D85" s="113"/>
      <c r="E85" s="113"/>
      <c r="F85" s="61"/>
      <c r="G85" s="62"/>
      <c r="H85" s="62"/>
      <c r="I85" s="63"/>
    </row>
    <row r="86" spans="1:9" x14ac:dyDescent="0.25">
      <c r="A86" s="64"/>
      <c r="B86" s="65"/>
      <c r="C86" s="65"/>
      <c r="D86" s="65"/>
      <c r="E86" s="65"/>
      <c r="F86" s="66"/>
      <c r="G86" s="67"/>
      <c r="H86" s="67"/>
      <c r="I86" s="27"/>
    </row>
    <row r="87" spans="1:9" ht="15" customHeight="1" x14ac:dyDescent="0.25">
      <c r="A87" s="28">
        <v>67</v>
      </c>
      <c r="B87" s="114" t="s">
        <v>48</v>
      </c>
      <c r="C87" s="115"/>
      <c r="D87" s="115"/>
      <c r="E87" s="115"/>
      <c r="F87" s="29"/>
      <c r="G87" s="30"/>
      <c r="H87" s="29"/>
      <c r="I87" s="31" t="str">
        <f>IF(F87&gt;0,H87*F87,"")</f>
        <v/>
      </c>
    </row>
    <row r="88" spans="1:9" ht="15" customHeight="1" x14ac:dyDescent="0.25">
      <c r="A88" s="28">
        <v>68</v>
      </c>
      <c r="B88" s="116" t="s">
        <v>35</v>
      </c>
      <c r="C88" s="117"/>
      <c r="D88" s="117"/>
      <c r="E88" s="117"/>
      <c r="F88" s="29"/>
      <c r="G88" s="30" t="s">
        <v>36</v>
      </c>
      <c r="H88" s="29">
        <v>7720</v>
      </c>
      <c r="I88" s="31">
        <f>F88*H88</f>
        <v>0</v>
      </c>
    </row>
    <row r="89" spans="1:9" x14ac:dyDescent="0.25">
      <c r="A89" s="28">
        <v>69</v>
      </c>
      <c r="B89" s="116" t="s">
        <v>37</v>
      </c>
      <c r="C89" s="117"/>
      <c r="D89" s="117"/>
      <c r="E89" s="117"/>
      <c r="F89" s="29"/>
      <c r="G89" s="30" t="s">
        <v>36</v>
      </c>
      <c r="H89" s="29">
        <v>20889</v>
      </c>
      <c r="I89" s="31">
        <f>F89*H89</f>
        <v>0</v>
      </c>
    </row>
    <row r="90" spans="1:9" x14ac:dyDescent="0.25">
      <c r="A90" s="28">
        <v>70</v>
      </c>
      <c r="B90" s="116" t="s">
        <v>38</v>
      </c>
      <c r="C90" s="117"/>
      <c r="D90" s="117"/>
      <c r="E90" s="117"/>
      <c r="F90" s="29"/>
      <c r="G90" s="30" t="s">
        <v>36</v>
      </c>
      <c r="H90" s="29">
        <v>17830</v>
      </c>
      <c r="I90" s="31">
        <f>F90*H90</f>
        <v>0</v>
      </c>
    </row>
    <row r="91" spans="1:9" x14ac:dyDescent="0.25">
      <c r="A91" s="28">
        <v>71</v>
      </c>
      <c r="B91" s="116" t="s">
        <v>39</v>
      </c>
      <c r="C91" s="117"/>
      <c r="D91" s="117"/>
      <c r="E91" s="117"/>
      <c r="F91" s="29"/>
      <c r="G91" s="30" t="s">
        <v>36</v>
      </c>
      <c r="H91" s="29">
        <v>21521</v>
      </c>
      <c r="I91" s="31">
        <f>F91*H91</f>
        <v>0</v>
      </c>
    </row>
    <row r="92" spans="1:9" x14ac:dyDescent="0.25">
      <c r="A92" s="28">
        <v>72</v>
      </c>
      <c r="B92" s="106" t="s">
        <v>40</v>
      </c>
      <c r="C92" s="107"/>
      <c r="D92" s="107"/>
      <c r="E92" s="107"/>
      <c r="F92" s="29"/>
      <c r="G92" s="30"/>
      <c r="H92" s="29">
        <v>24028</v>
      </c>
      <c r="I92" s="31"/>
    </row>
    <row r="93" spans="1:9" x14ac:dyDescent="0.25">
      <c r="A93" s="28">
        <v>73</v>
      </c>
      <c r="B93" s="116"/>
      <c r="C93" s="117"/>
      <c r="D93" s="117"/>
      <c r="E93" s="117"/>
      <c r="F93" s="29"/>
      <c r="G93" s="30"/>
      <c r="H93" s="29"/>
      <c r="I93" s="31"/>
    </row>
    <row r="94" spans="1:9" x14ac:dyDescent="0.25">
      <c r="A94" s="28">
        <v>74</v>
      </c>
      <c r="B94" s="45"/>
      <c r="C94" s="45"/>
      <c r="D94" s="45"/>
      <c r="E94" s="45"/>
      <c r="F94" s="29"/>
      <c r="G94" s="30"/>
      <c r="H94" s="29"/>
      <c r="I94" s="31" t="str">
        <f>IF(F94&gt;0,H94*F94,"")</f>
        <v/>
      </c>
    </row>
    <row r="95" spans="1:9" ht="15" customHeight="1" x14ac:dyDescent="0.25">
      <c r="A95" s="28">
        <v>75</v>
      </c>
      <c r="B95" s="108" t="s">
        <v>49</v>
      </c>
      <c r="C95" s="108"/>
      <c r="D95" s="108"/>
      <c r="E95" s="108"/>
      <c r="F95" s="25"/>
      <c r="G95" s="26"/>
      <c r="H95" s="26"/>
      <c r="I95" s="27"/>
    </row>
    <row r="96" spans="1:9" ht="15" customHeight="1" x14ac:dyDescent="0.25">
      <c r="A96" s="28">
        <v>76</v>
      </c>
      <c r="B96" s="105" t="s">
        <v>35</v>
      </c>
      <c r="C96" s="105"/>
      <c r="D96" s="105"/>
      <c r="E96" s="105"/>
      <c r="F96" s="29">
        <v>0</v>
      </c>
      <c r="G96" s="30" t="s">
        <v>36</v>
      </c>
      <c r="H96" s="29">
        <v>5964</v>
      </c>
      <c r="I96" s="31" t="str">
        <f t="shared" ref="I96:I101" si="2">IF(F96&gt;0,H96*F96,"")</f>
        <v/>
      </c>
    </row>
    <row r="97" spans="1:9" x14ac:dyDescent="0.25">
      <c r="A97" s="28">
        <v>77</v>
      </c>
      <c r="B97" s="105" t="s">
        <v>37</v>
      </c>
      <c r="C97" s="105"/>
      <c r="D97" s="105"/>
      <c r="E97" s="105"/>
      <c r="F97" s="29">
        <v>0</v>
      </c>
      <c r="G97" s="36" t="s">
        <v>36</v>
      </c>
      <c r="H97" s="29">
        <v>16141</v>
      </c>
      <c r="I97" s="31" t="str">
        <f t="shared" si="2"/>
        <v/>
      </c>
    </row>
    <row r="98" spans="1:9" x14ac:dyDescent="0.25">
      <c r="A98" s="28">
        <v>78</v>
      </c>
      <c r="B98" s="105" t="s">
        <v>38</v>
      </c>
      <c r="C98" s="105"/>
      <c r="D98" s="105"/>
      <c r="E98" s="105"/>
      <c r="F98" s="29">
        <v>0</v>
      </c>
      <c r="G98" s="36" t="s">
        <v>36</v>
      </c>
      <c r="H98" s="29">
        <v>10128</v>
      </c>
      <c r="I98" s="31" t="str">
        <f t="shared" si="2"/>
        <v/>
      </c>
    </row>
    <row r="99" spans="1:9" x14ac:dyDescent="0.25">
      <c r="A99" s="28">
        <v>79</v>
      </c>
      <c r="B99" s="105" t="s">
        <v>39</v>
      </c>
      <c r="C99" s="105"/>
      <c r="D99" s="105"/>
      <c r="E99" s="105"/>
      <c r="F99" s="29">
        <v>0</v>
      </c>
      <c r="G99" s="36" t="s">
        <v>36</v>
      </c>
      <c r="H99" s="29">
        <v>16141</v>
      </c>
      <c r="I99" s="31" t="str">
        <f t="shared" si="2"/>
        <v/>
      </c>
    </row>
    <row r="100" spans="1:9" x14ac:dyDescent="0.25">
      <c r="A100" s="28">
        <v>80</v>
      </c>
      <c r="B100" s="106" t="s">
        <v>40</v>
      </c>
      <c r="C100" s="107"/>
      <c r="D100" s="107"/>
      <c r="E100" s="107"/>
      <c r="F100" s="29"/>
      <c r="G100" s="36"/>
      <c r="H100" s="29">
        <v>24028</v>
      </c>
      <c r="I100" s="31" t="str">
        <f t="shared" si="2"/>
        <v/>
      </c>
    </row>
    <row r="101" spans="1:9" x14ac:dyDescent="0.25">
      <c r="A101" s="28">
        <v>81</v>
      </c>
      <c r="B101" s="105" t="s">
        <v>42</v>
      </c>
      <c r="C101" s="105"/>
      <c r="D101" s="105"/>
      <c r="E101" s="105"/>
      <c r="F101" s="29"/>
      <c r="G101" s="36"/>
      <c r="H101" s="29"/>
      <c r="I101" s="31" t="str">
        <f t="shared" si="2"/>
        <v/>
      </c>
    </row>
    <row r="102" spans="1:9" ht="15" customHeight="1" x14ac:dyDescent="0.25">
      <c r="A102" s="28">
        <v>82</v>
      </c>
      <c r="B102" s="108" t="s">
        <v>50</v>
      </c>
      <c r="C102" s="108"/>
      <c r="D102" s="108"/>
      <c r="E102" s="108"/>
      <c r="F102" s="25"/>
      <c r="G102" s="26"/>
      <c r="H102" s="26"/>
      <c r="I102" s="27">
        <f>SUM(I103:I108)</f>
        <v>0</v>
      </c>
    </row>
    <row r="103" spans="1:9" ht="15" customHeight="1" x14ac:dyDescent="0.25">
      <c r="A103" s="28">
        <v>83</v>
      </c>
      <c r="B103" s="105" t="s">
        <v>44</v>
      </c>
      <c r="C103" s="105"/>
      <c r="D103" s="105"/>
      <c r="E103" s="105"/>
      <c r="F103" s="29"/>
      <c r="G103" s="36" t="s">
        <v>36</v>
      </c>
      <c r="H103" s="29">
        <v>4386</v>
      </c>
      <c r="I103" s="31">
        <f>F103*H103</f>
        <v>0</v>
      </c>
    </row>
    <row r="104" spans="1:9" x14ac:dyDescent="0.25">
      <c r="A104" s="28">
        <v>84</v>
      </c>
      <c r="B104" s="105" t="s">
        <v>37</v>
      </c>
      <c r="C104" s="105"/>
      <c r="D104" s="105"/>
      <c r="E104" s="105"/>
      <c r="F104" s="29"/>
      <c r="G104" s="36" t="s">
        <v>36</v>
      </c>
      <c r="H104" s="29">
        <v>11871</v>
      </c>
      <c r="I104" s="31">
        <f>H104*F104</f>
        <v>0</v>
      </c>
    </row>
    <row r="105" spans="1:9" x14ac:dyDescent="0.25">
      <c r="A105" s="28">
        <v>85</v>
      </c>
      <c r="B105" s="105" t="s">
        <v>38</v>
      </c>
      <c r="C105" s="105"/>
      <c r="D105" s="105"/>
      <c r="E105" s="105"/>
      <c r="F105" s="29"/>
      <c r="G105" s="36" t="s">
        <v>36</v>
      </c>
      <c r="H105" s="29">
        <v>10128</v>
      </c>
      <c r="I105" s="31">
        <f>F105*H105</f>
        <v>0</v>
      </c>
    </row>
    <row r="106" spans="1:9" x14ac:dyDescent="0.25">
      <c r="A106" s="28">
        <v>86</v>
      </c>
      <c r="B106" s="105" t="s">
        <v>39</v>
      </c>
      <c r="C106" s="105"/>
      <c r="D106" s="105"/>
      <c r="E106" s="105"/>
      <c r="F106" s="29"/>
      <c r="G106" s="36" t="s">
        <v>36</v>
      </c>
      <c r="H106" s="29">
        <v>12233</v>
      </c>
      <c r="I106" s="31">
        <f>F106*H106</f>
        <v>0</v>
      </c>
    </row>
    <row r="107" spans="1:9" x14ac:dyDescent="0.25">
      <c r="A107" s="28">
        <v>87</v>
      </c>
      <c r="B107" s="109" t="s">
        <v>45</v>
      </c>
      <c r="C107" s="110"/>
      <c r="D107" s="110"/>
      <c r="E107" s="110"/>
      <c r="F107" s="29"/>
      <c r="G107" s="46" t="s">
        <v>36</v>
      </c>
      <c r="H107" s="29">
        <v>24028</v>
      </c>
      <c r="I107" s="47">
        <f>F107*H107</f>
        <v>0</v>
      </c>
    </row>
    <row r="108" spans="1:9" ht="15.75" thickBot="1" x14ac:dyDescent="0.3">
      <c r="A108" s="68"/>
      <c r="B108" s="69"/>
      <c r="C108" s="69"/>
      <c r="D108" s="69"/>
      <c r="E108" s="69"/>
      <c r="F108" s="70"/>
      <c r="G108" s="71"/>
      <c r="H108" s="72"/>
      <c r="I108" s="73"/>
    </row>
    <row r="109" spans="1:9" x14ac:dyDescent="0.25">
      <c r="A109" s="74"/>
      <c r="B109" s="75"/>
      <c r="C109" s="75"/>
      <c r="D109" s="75"/>
      <c r="E109" s="75"/>
      <c r="F109" s="76"/>
      <c r="G109" s="77"/>
      <c r="H109" s="78"/>
      <c r="I109" s="79"/>
    </row>
    <row r="110" spans="1:9" x14ac:dyDescent="0.25">
      <c r="A110" s="80">
        <v>88</v>
      </c>
      <c r="B110" s="81" t="s">
        <v>51</v>
      </c>
      <c r="C110" s="81"/>
      <c r="D110" s="81"/>
      <c r="E110" s="81" t="s">
        <v>52</v>
      </c>
      <c r="F110" s="82"/>
      <c r="G110" s="83"/>
      <c r="H110" s="84"/>
      <c r="I110" s="27">
        <f>I70+I63+I54</f>
        <v>1230700</v>
      </c>
    </row>
    <row r="111" spans="1:9" ht="15.75" x14ac:dyDescent="0.25">
      <c r="A111" s="74">
        <v>89</v>
      </c>
      <c r="B111" s="85" t="s">
        <v>53</v>
      </c>
      <c r="C111" s="85"/>
      <c r="E111" s="85" t="s">
        <v>52</v>
      </c>
      <c r="I111" s="86"/>
    </row>
    <row r="112" spans="1:9" x14ac:dyDescent="0.25">
      <c r="A112" s="74">
        <v>90</v>
      </c>
      <c r="B112" s="85" t="s">
        <v>54</v>
      </c>
      <c r="C112" s="85"/>
      <c r="E112" s="85" t="s">
        <v>28</v>
      </c>
      <c r="I112" s="85"/>
    </row>
    <row r="113" spans="1:9" ht="15.75" x14ac:dyDescent="0.25">
      <c r="A113" s="87">
        <v>91</v>
      </c>
      <c r="B113" s="88" t="s">
        <v>55</v>
      </c>
      <c r="C113" s="89"/>
      <c r="D113" s="89"/>
      <c r="E113" s="89"/>
      <c r="F113" s="89"/>
      <c r="G113" s="89"/>
      <c r="H113" s="89"/>
      <c r="I113" s="89"/>
    </row>
    <row r="114" spans="1:9" ht="15.75" x14ac:dyDescent="0.25">
      <c r="A114" s="90"/>
      <c r="B114" s="111"/>
      <c r="C114" s="112"/>
      <c r="D114" s="91"/>
      <c r="E114" s="91"/>
      <c r="F114" s="91"/>
      <c r="G114" s="91"/>
      <c r="H114" s="91"/>
      <c r="I114" s="91"/>
    </row>
    <row r="115" spans="1:9" ht="18.75" x14ac:dyDescent="0.25">
      <c r="A115" s="90" t="s">
        <v>56</v>
      </c>
      <c r="B115" s="103"/>
      <c r="C115" s="104"/>
      <c r="D115" s="104"/>
      <c r="E115" s="104"/>
      <c r="F115" s="104"/>
      <c r="G115" s="104"/>
      <c r="H115" s="104"/>
      <c r="I115" s="104"/>
    </row>
    <row r="116" spans="1:9" ht="18.75" x14ac:dyDescent="0.25">
      <c r="A116" s="92" t="s">
        <v>57</v>
      </c>
      <c r="B116" s="93"/>
      <c r="C116" s="94"/>
      <c r="D116" s="94"/>
      <c r="E116" s="94"/>
      <c r="F116" s="94"/>
      <c r="G116" s="94"/>
      <c r="H116" s="89"/>
      <c r="I116" s="89"/>
    </row>
    <row r="117" spans="1:9" ht="18.75" x14ac:dyDescent="0.25">
      <c r="A117" s="91"/>
      <c r="B117" s="103"/>
      <c r="C117" s="104"/>
      <c r="D117" s="104"/>
      <c r="E117" s="104"/>
      <c r="F117" s="104"/>
      <c r="G117" s="104"/>
      <c r="H117" s="104"/>
      <c r="I117" s="104"/>
    </row>
    <row r="118" spans="1:9" ht="18.75" x14ac:dyDescent="0.3">
      <c r="A118" s="91"/>
      <c r="B118" s="95"/>
      <c r="C118" s="96"/>
      <c r="D118" s="96"/>
      <c r="E118" s="96"/>
      <c r="F118" s="96"/>
      <c r="G118" s="96"/>
      <c r="H118" s="96"/>
      <c r="I118" s="96"/>
    </row>
    <row r="119" spans="1:9" ht="18.75" x14ac:dyDescent="0.3">
      <c r="A119" s="91"/>
      <c r="B119" s="95"/>
      <c r="C119" s="97"/>
      <c r="D119" s="97"/>
      <c r="E119" s="97"/>
      <c r="F119" s="97"/>
      <c r="G119" s="96"/>
      <c r="H119" s="96"/>
      <c r="I119" s="96"/>
    </row>
    <row r="120" spans="1:9" ht="18.75" x14ac:dyDescent="0.3">
      <c r="A120" s="91"/>
      <c r="B120" s="95"/>
      <c r="C120" s="97"/>
      <c r="D120" s="97"/>
      <c r="E120" s="97"/>
      <c r="F120" s="97"/>
      <c r="G120" s="96"/>
      <c r="H120" s="96"/>
      <c r="I120" s="96"/>
    </row>
    <row r="121" spans="1:9" ht="18.75" x14ac:dyDescent="0.25">
      <c r="A121" s="91"/>
      <c r="B121" s="93"/>
      <c r="C121" s="96"/>
      <c r="D121" s="96"/>
      <c r="E121" s="96"/>
      <c r="F121" s="96"/>
      <c r="G121" s="96"/>
      <c r="H121" s="96"/>
      <c r="I121" s="96"/>
    </row>
    <row r="122" spans="1:9" x14ac:dyDescent="0.25">
      <c r="A122" s="91"/>
      <c r="B122" s="91"/>
      <c r="C122" s="91"/>
      <c r="D122" s="91"/>
      <c r="E122" s="91"/>
      <c r="F122" s="91"/>
      <c r="G122" s="91"/>
      <c r="H122" s="91"/>
      <c r="I122" s="91"/>
    </row>
  </sheetData>
  <mergeCells count="84">
    <mergeCell ref="D15:I15"/>
    <mergeCell ref="A2:I2"/>
    <mergeCell ref="E4:H4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B31:E31"/>
    <mergeCell ref="D16:I16"/>
    <mergeCell ref="A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56:E56"/>
    <mergeCell ref="B32:E32"/>
    <mergeCell ref="B33:E33"/>
    <mergeCell ref="B34:E34"/>
    <mergeCell ref="B35:E35"/>
    <mergeCell ref="B36:E36"/>
    <mergeCell ref="B37:E37"/>
    <mergeCell ref="B40:E40"/>
    <mergeCell ref="B50:E50"/>
    <mergeCell ref="B53:E53"/>
    <mergeCell ref="B54:E54"/>
    <mergeCell ref="B55:E55"/>
    <mergeCell ref="B69:E69"/>
    <mergeCell ref="B57:E57"/>
    <mergeCell ref="B58:E58"/>
    <mergeCell ref="B59:E59"/>
    <mergeCell ref="B60:E60"/>
    <mergeCell ref="B61:E61"/>
    <mergeCell ref="B63:E63"/>
    <mergeCell ref="B64:E64"/>
    <mergeCell ref="B65:E65"/>
    <mergeCell ref="B66:E66"/>
    <mergeCell ref="B67:E67"/>
    <mergeCell ref="B68:E68"/>
    <mergeCell ref="B83:E83"/>
    <mergeCell ref="B70:E70"/>
    <mergeCell ref="B71:E71"/>
    <mergeCell ref="B72:E72"/>
    <mergeCell ref="B73:E73"/>
    <mergeCell ref="B74:E74"/>
    <mergeCell ref="B75:E75"/>
    <mergeCell ref="B78:E78"/>
    <mergeCell ref="B79:E79"/>
    <mergeCell ref="B80:E80"/>
    <mergeCell ref="B81:E81"/>
    <mergeCell ref="B82:E82"/>
    <mergeCell ref="B98:E98"/>
    <mergeCell ref="B85:E85"/>
    <mergeCell ref="B87:E87"/>
    <mergeCell ref="B88:E88"/>
    <mergeCell ref="B89:E89"/>
    <mergeCell ref="B90:E90"/>
    <mergeCell ref="B91:E91"/>
    <mergeCell ref="B92:E92"/>
    <mergeCell ref="B93:E93"/>
    <mergeCell ref="B95:E95"/>
    <mergeCell ref="B96:E96"/>
    <mergeCell ref="B97:E97"/>
    <mergeCell ref="B117:I117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14:C114"/>
    <mergeCell ref="B115:I115"/>
  </mergeCells>
  <conditionalFormatting sqref="A4">
    <cfRule type="cellIs" dxfId="17" priority="21" operator="equal">
      <formula>0</formula>
    </cfRule>
  </conditionalFormatting>
  <conditionalFormatting sqref="B115:B117 B121">
    <cfRule type="cellIs" dxfId="16" priority="1" operator="equal">
      <formula>0</formula>
    </cfRule>
  </conditionalFormatting>
  <conditionalFormatting sqref="D6:D16">
    <cfRule type="cellIs" dxfId="15" priority="15" operator="equal">
      <formula>0</formula>
    </cfRule>
  </conditionalFormatting>
  <conditionalFormatting sqref="F23:F29">
    <cfRule type="containsBlanks" dxfId="14" priority="34">
      <formula>LEN(TRIM(F23))=0</formula>
    </cfRule>
  </conditionalFormatting>
  <conditionalFormatting sqref="F31:F34">
    <cfRule type="containsBlanks" dxfId="13" priority="19">
      <formula>LEN(TRIM(F31))=0</formula>
    </cfRule>
  </conditionalFormatting>
  <conditionalFormatting sqref="F36:F51">
    <cfRule type="containsBlanks" dxfId="12" priority="28">
      <formula>LEN(TRIM(F36))=0</formula>
    </cfRule>
  </conditionalFormatting>
  <conditionalFormatting sqref="F55:F62">
    <cfRule type="containsBlanks" dxfId="11" priority="26">
      <formula>LEN(TRIM(F55))=0</formula>
    </cfRule>
  </conditionalFormatting>
  <conditionalFormatting sqref="F64:F69 F71:F75">
    <cfRule type="containsBlanks" dxfId="10" priority="24">
      <formula>LEN(TRIM(F64))=0</formula>
    </cfRule>
  </conditionalFormatting>
  <conditionalFormatting sqref="F79:F83">
    <cfRule type="containsBlanks" dxfId="9" priority="13">
      <formula>LEN(TRIM(F79))=0</formula>
    </cfRule>
  </conditionalFormatting>
  <conditionalFormatting sqref="F87:F94">
    <cfRule type="containsBlanks" dxfId="8" priority="8">
      <formula>LEN(TRIM(F87))=0</formula>
    </cfRule>
  </conditionalFormatting>
  <conditionalFormatting sqref="F96:F101 F103:F107">
    <cfRule type="containsBlanks" dxfId="7" priority="6">
      <formula>LEN(TRIM(F96))=0</formula>
    </cfRule>
  </conditionalFormatting>
  <conditionalFormatting sqref="H23:H29">
    <cfRule type="containsBlanks" dxfId="6" priority="18">
      <formula>LEN(TRIM(H23))=0</formula>
    </cfRule>
  </conditionalFormatting>
  <conditionalFormatting sqref="H31:H51">
    <cfRule type="containsBlanks" dxfId="5" priority="17">
      <formula>LEN(TRIM(H31))=0</formula>
    </cfRule>
  </conditionalFormatting>
  <conditionalFormatting sqref="H55:H62">
    <cfRule type="containsBlanks" dxfId="4" priority="31">
      <formula>LEN(TRIM(H55))=0</formula>
    </cfRule>
  </conditionalFormatting>
  <conditionalFormatting sqref="H64:H69 H71:H75">
    <cfRule type="containsBlanks" dxfId="3" priority="22">
      <formula>LEN(TRIM(H64))=0</formula>
    </cfRule>
  </conditionalFormatting>
  <conditionalFormatting sqref="H79:H83">
    <cfRule type="containsBlanks" dxfId="2" priority="12">
      <formula>LEN(TRIM(H79))=0</formula>
    </cfRule>
  </conditionalFormatting>
  <conditionalFormatting sqref="H87:H94">
    <cfRule type="containsBlanks" dxfId="1" priority="10">
      <formula>LEN(TRIM(H87))=0</formula>
    </cfRule>
  </conditionalFormatting>
  <conditionalFormatting sqref="H96:H101 H103:H107">
    <cfRule type="containsBlanks" dxfId="0" priority="4">
      <formula>LEN(TRIM(H96))=0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Emiliano Lerda</cp:lastModifiedBy>
  <dcterms:created xsi:type="dcterms:W3CDTF">2015-06-05T18:19:34Z</dcterms:created>
  <dcterms:modified xsi:type="dcterms:W3CDTF">2026-08-26T13:47:34Z</dcterms:modified>
</cp:coreProperties>
</file>